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0703d40aed4e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0b862d9fea5426f"/>
    <x:sheet xmlns:r="http://schemas.openxmlformats.org/officeDocument/2006/relationships" name="Clientes" sheetId="2" r:id="Rcdae28549cac4119"/>
    <x:sheet xmlns:r="http://schemas.openxmlformats.org/officeDocument/2006/relationships" name="Fornecedores" sheetId="3" r:id="R1cc3b68c55c94fdb"/>
    <x:sheet xmlns:r="http://schemas.openxmlformats.org/officeDocument/2006/relationships" name="Produtos" sheetId="4" r:id="R5e39915a1a0c48ec"/>
    <x:sheet xmlns:r="http://schemas.openxmlformats.org/officeDocument/2006/relationships" name="Pedidos" sheetId="5" r:id="Rbb73d7ae31724142"/>
    <x:sheet xmlns:r="http://schemas.openxmlformats.org/officeDocument/2006/relationships" name="Itens_Pedido" sheetId="6" r:id="R60cbcd367a5a4b41"/>
    <x:sheet xmlns:r="http://schemas.openxmlformats.org/officeDocument/2006/relationships" name="Base_Analitica" sheetId="7" r:id="Rbbae90e9aa504efd"/>
    <x:sheet xmlns:r="http://schemas.openxmlformats.org/officeDocument/2006/relationships" name="Resumos_Graficos" sheetId="8" r:id="Rea8ec901483d460a"/>
    <x:sheet xmlns:r="http://schemas.openxmlformats.org/officeDocument/2006/relationships" name="Estatistica" sheetId="9" r:id="Redc430f2f0ed4afb"/>
    <x:sheet xmlns:r="http://schemas.openxmlformats.org/officeDocument/2006/relationships" name="Instrucoes_Graficos" sheetId="10" r:id="R07ee8f82b47e43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"/>
    <x:numFmt numFmtId="202" formatCode="R$ #,##0.00"/>
    <x:numFmt numFmtId="203" formatCode="0.00%"/>
    <x:numFmt numFmtId="204" formatCode="0.0000"/>
    <x:numFmt numFmtId="205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9b44638db48a2" /><Relationship Type="http://schemas.openxmlformats.org/officeDocument/2006/relationships/theme" Target="/xl/theme/theme1.xml" Id="Rdf0c74fd0cc24930" /><Relationship Type="http://schemas.openxmlformats.org/officeDocument/2006/relationships/sharedStrings" Target="/xl/sharedStrings.xml" Id="Ra9ec3e4bd2f44749" /><Relationship Type="http://schemas.openxmlformats.org/officeDocument/2006/relationships/worksheet" Target="/xl/worksheets/sheet1.xml" Id="R40b862d9fea5426f" /><Relationship Type="http://schemas.openxmlformats.org/officeDocument/2006/relationships/worksheet" Target="/xl/worksheets/sheet2.xml" Id="Rcdae28549cac4119" /><Relationship Type="http://schemas.openxmlformats.org/officeDocument/2006/relationships/worksheet" Target="/xl/worksheets/sheet3.xml" Id="R1cc3b68c55c94fdb" /><Relationship Type="http://schemas.openxmlformats.org/officeDocument/2006/relationships/worksheet" Target="/xl/worksheets/sheet4.xml" Id="R5e39915a1a0c48ec" /><Relationship Type="http://schemas.openxmlformats.org/officeDocument/2006/relationships/worksheet" Target="/xl/worksheets/sheet5.xml" Id="Rbb73d7ae31724142" /><Relationship Type="http://schemas.openxmlformats.org/officeDocument/2006/relationships/worksheet" Target="/xl/worksheets/sheet6.xml" Id="R60cbcd367a5a4b41" /><Relationship Type="http://schemas.openxmlformats.org/officeDocument/2006/relationships/worksheet" Target="/xl/worksheets/sheet7.xml" Id="Rbbae90e9aa504efd" /><Relationship Type="http://schemas.openxmlformats.org/officeDocument/2006/relationships/worksheet" Target="/xl/worksheets/sheet8.xml" Id="Rea8ec901483d460a" /><Relationship Type="http://schemas.openxmlformats.org/officeDocument/2006/relationships/worksheet" Target="/xl/worksheets/sheet9.xml" Id="Redc430f2f0ed4afb" /><Relationship Type="http://schemas.openxmlformats.org/officeDocument/2006/relationships/worksheet" Target="/xl/worksheets/sheet10.xml" Id="R07ee8f82b47e43c6" /></Relationships>
</file>

<file path=xl/tables/table1.xml><?xml version="1.0" encoding="utf-8"?>
<x:table xmlns:x="http://schemas.openxmlformats.org/spreadsheetml/2006/main" id="1" name="TblClientes" displayName="TblClientes" ref="A1:L61" headerRowCount="1">
  <x:tableColumns count="12">
    <x:tableColumn id="1" name="cliente_id"/>
    <x:tableColumn id="2" name="nome"/>
    <x:tableColumn id="3" name="sobrenome"/>
    <x:tableColumn id="4" name="cliente"/>
    <x:tableColumn id="5" name="email"/>
    <x:tableColumn id="6" name="telefone"/>
    <x:tableColumn id="7" name="uf_cliente"/>
    <x:tableColumn id="8" name="cidade_cliente"/>
    <x:tableColumn id="9" name="idade_cliente"/>
    <x:tableColumn id="10" name="data_nascimento"/>
    <x:tableColumn id="11" name="data_cadastro"/>
    <x:tableColumn id="12" name="status_cliente"/>
  </x:tableColumns>
  <x:tableStyleInfo name="TableStyleMedium2" showRowStripes="1"/>
</x:table>
</file>

<file path=xl/tables/table2.xml><?xml version="1.0" encoding="utf-8"?>
<x:table xmlns:x="http://schemas.openxmlformats.org/spreadsheetml/2006/main" id="2" name="TblFornecedores" displayName="TblFornecedores" ref="A1:G9" headerRowCount="1">
  <x:tableColumns count="7">
    <x:tableColumn id="1" name="fornecedor_id"/>
    <x:tableColumn id="2" name="fornecedor"/>
    <x:tableColumn id="3" name="cnpj"/>
    <x:tableColumn id="4" name="email"/>
    <x:tableColumn id="5" name="telefone"/>
    <x:tableColumn id="6" name="ativo"/>
    <x:tableColumn id="7" name="descricao"/>
  </x:tableColumns>
  <x:tableStyleInfo name="TableStyleMedium2" showRowStripes="1"/>
</x:table>
</file>

<file path=xl/tables/table3.xml><?xml version="1.0" encoding="utf-8"?>
<x:table xmlns:x="http://schemas.openxmlformats.org/spreadsheetml/2006/main" id="3" name="TblProdutos" displayName="TblProdutos" ref="A1:J31" headerRowCount="1">
  <x:tableColumns count="10">
    <x:tableColumn id="1" name="produto_id"/>
    <x:tableColumn id="2" name="produto"/>
    <x:tableColumn id="3" name="categoria"/>
    <x:tableColumn id="4" name="descricao"/>
    <x:tableColumn id="5" name="preco_venda"/>
    <x:tableColumn id="6" name="custo_unitario"/>
    <x:tableColumn id="7" name="estoque"/>
    <x:tableColumn id="8" name="fornecedor_id"/>
    <x:tableColumn id="9" name="fornecedor"/>
    <x:tableColumn id="10" name="ativo"/>
  </x:tableColumns>
  <x:tableStyleInfo name="TableStyleMedium2" showRowStripes="1"/>
</x:table>
</file>

<file path=xl/tables/table4.xml><?xml version="1.0" encoding="utf-8"?>
<x:table xmlns:x="http://schemas.openxmlformats.org/spreadsheetml/2006/main" id="4" name="TblPedidos" displayName="TblPedidos" ref="A1:U221" headerRowCount="1">
  <x:tableColumns count="21">
    <x:tableColumn id="1" name="pedido_id"/>
    <x:tableColumn id="2" name="cliente_id"/>
    <x:tableColumn id="3" name="cliente"/>
    <x:tableColumn id="4" name="data_pedido"/>
    <x:tableColumn id="5" name="mes"/>
    <x:tableColumn id="6" name="status_id"/>
    <x:tableColumn id="7" name="status_pedido"/>
    <x:tableColumn id="8" name="canal_venda"/>
    <x:tableColumn id="9" name="forma_pagamento"/>
    <x:tableColumn id="10" name="frete"/>
    <x:tableColumn id="11" name="dias_entrega"/>
    <x:tableColumn id="12" name="motivo_cancelamento"/>
    <x:tableColumn id="13" name="qtd_total"/>
    <x:tableColumn id="14" name="itens_distintos"/>
    <x:tableColumn id="15" name="valor_bruto_pedido"/>
    <x:tableColumn id="16" name="desconto_pedido"/>
    <x:tableColumn id="17" name="receita_total"/>
    <x:tableColumn id="18" name="custo_total"/>
    <x:tableColumn id="19" name="lucro_total"/>
    <x:tableColumn id="20" name="ticket_pedido"/>
    <x:tableColumn id="21" name="margem_pedido_pct"/>
  </x:tableColumns>
  <x:tableStyleInfo name="TableStyleMedium2" showRowStripes="1"/>
</x:table>
</file>

<file path=xl/tables/table5.xml><?xml version="1.0" encoding="utf-8"?>
<x:table xmlns:x="http://schemas.openxmlformats.org/spreadsheetml/2006/main" id="5" name="TblItensPedido" displayName="TblItensPedido" ref="A1:L395" headerRowCount="1">
  <x:tableColumns count="12">
    <x:tableColumn id="1" name="item_id"/>
    <x:tableColumn id="2" name="pedido_id"/>
    <x:tableColumn id="3" name="produto_id"/>
    <x:tableColumn id="4" name="produto"/>
    <x:tableColumn id="5" name="categoria"/>
    <x:tableColumn id="6" name="fornecedor_id"/>
    <x:tableColumn id="7" name="fornecedor"/>
    <x:tableColumn id="8" name="quantidade"/>
    <x:tableColumn id="9" name="valor_unitario_tabela"/>
    <x:tableColumn id="10" name="desconto_pct"/>
    <x:tableColumn id="11" name="valor_pago_unitario"/>
    <x:tableColumn id="12" name="valor_pago_total"/>
  </x:tableColumns>
  <x:tableStyleInfo name="TableStyleMedium2" showRowStripes="1"/>
</x:table>
</file>

<file path=xl/tables/table6.xml><?xml version="1.0" encoding="utf-8"?>
<x:table xmlns:x="http://schemas.openxmlformats.org/spreadsheetml/2006/main" id="6" name="TblBaseAnalitica" displayName="TblBaseAnalitica" ref="A1:AC395" headerRowCount="1">
  <x:tableColumns count="29">
    <x:tableColumn id="1" name="item_id"/>
    <x:tableColumn id="2" name="pedido_id"/>
    <x:tableColumn id="3" name="data_pedido"/>
    <x:tableColumn id="4" name="mes"/>
    <x:tableColumn id="5" name="cliente_id"/>
    <x:tableColumn id="6" name="cliente"/>
    <x:tableColumn id="7" name="uf_cliente"/>
    <x:tableColumn id="8" name="cidade_cliente"/>
    <x:tableColumn id="9" name="idade_cliente"/>
    <x:tableColumn id="10" name="status_pedido"/>
    <x:tableColumn id="11" name="canal_venda"/>
    <x:tableColumn id="12" name="forma_pagamento"/>
    <x:tableColumn id="13" name="produto_id"/>
    <x:tableColumn id="14" name="produto"/>
    <x:tableColumn id="15" name="categoria"/>
    <x:tableColumn id="16" name="fornecedor"/>
    <x:tableColumn id="17" name="quantidade"/>
    <x:tableColumn id="18" name="valor_unitario_tabela"/>
    <x:tableColumn id="19" name="desconto_pct"/>
    <x:tableColumn id="20" name="valor_pago_unitario"/>
    <x:tableColumn id="21" name="valor_bruto_item"/>
    <x:tableColumn id="22" name="desconto_valor_item"/>
    <x:tableColumn id="23" name="receita_realizada_item"/>
    <x:tableColumn id="24" name="custo_item"/>
    <x:tableColumn id="25" name="lucro_item"/>
    <x:tableColumn id="26" name="margem_pct"/>
    <x:tableColumn id="27" name="frete_pedido"/>
    <x:tableColumn id="28" name="dias_entrega"/>
    <x:tableColumn id="29" name="motivo_cancelamento"/>
  </x:tableColumns>
  <x:tableStyleInfo name="TableStyleMedium2" showRowStripes="1"/>
</x:table>
</file>

<file path=xl/tables/table7.xml><?xml version="1.0" encoding="utf-8"?>
<x:table xmlns:x="http://schemas.openxmlformats.org/spreadsheetml/2006/main" id="7" name="TblResumoMensal" displayName="TblResumoMensal" ref="A2:J8" headerRowCount="1">
  <x:tableColumns count="10">
    <x:tableColumn id="1" name="mes"/>
    <x:tableColumn id="2" name="pedidos"/>
    <x:tableColumn id="3" name="pedidos_entregues"/>
    <x:tableColumn id="4" name="cancelados"/>
    <x:tableColumn id="5" name="taxa_cancelamento"/>
    <x:tableColumn id="6" name="qtd_itens"/>
    <x:tableColumn id="7" name="receita_total"/>
    <x:tableColumn id="8" name="ticket_medio"/>
    <x:tableColumn id="9" name="lucro_total"/>
    <x:tableColumn id="10" name="margem_media_pct"/>
  </x:tableColumns>
  <x:tableStyleInfo name="TableStyleMedium2" showRowStripes="1"/>
</x:table>
</file>

<file path=xl/tables/table8.xml><?xml version="1.0" encoding="utf-8"?>
<x:table xmlns:x="http://schemas.openxmlformats.org/spreadsheetml/2006/main" id="8" name="TblResumoCategoria" displayName="TblResumoCategoria" ref="A13:F21" headerRowCount="1">
  <x:tableColumns count="6">
    <x:tableColumn id="1" name="categoria"/>
    <x:tableColumn id="2" name="pedidos_com_categoria"/>
    <x:tableColumn id="3" name="quantidade_vendida"/>
    <x:tableColumn id="4" name="receita_total"/>
    <x:tableColumn id="5" name="lucro_total"/>
    <x:tableColumn id="6" name="margem_pct"/>
  </x:tableColumns>
  <x:tableStyleInfo name="TableStyleMedium2" showRowStripes="1"/>
</x:table>
</file>

<file path=xl/tables/table9.xml><?xml version="1.0" encoding="utf-8"?>
<x:table xmlns:x="http://schemas.openxmlformats.org/spreadsheetml/2006/main" id="9" name="TblResumoStatus" displayName="TblResumoStatus" ref="I13:K18" headerRowCount="1">
  <x:tableColumns count="3">
    <x:tableColumn id="1" name="status_pedido"/>
    <x:tableColumn id="2" name="quantidade_pedidos"/>
    <x:tableColumn id="3" name="percentual"/>
  </x:tableColumns>
  <x:tableStyleInfo name="TableStyleMedium2" showRowStripes="1"/>
</x:table>
</file>

<file path=xl/tables/table10.xml><?xml version="1.0" encoding="utf-8"?>
<x:table xmlns:x="http://schemas.openxmlformats.org/spreadsheetml/2006/main" id="10" name="TblFreqTicket" displayName="TblFreqTicket" ref="A25:E31" headerRowCount="1">
  <x:tableColumns count="5">
    <x:tableColumn id="1" name="classe_ticket"/>
    <x:tableColumn id="2" name="limite_inferior"/>
    <x:tableColumn id="3" name="limite_superior"/>
    <x:tableColumn id="4" name="frequencia"/>
    <x:tableColumn id="5" name="frequencia_relativa"/>
  </x:tableColumns>
  <x:tableStyleInfo name="TableStyleMedium2" showRowStripes="1"/>
</x:table>
</file>

<file path=xl/tables/table11.xml><?xml version="1.0" encoding="utf-8"?>
<x:table xmlns:x="http://schemas.openxmlformats.org/spreadsheetml/2006/main" id="11" name="TblParetoCancelamentos" displayName="TblParetoCancelamentos" ref="H25:K29" headerRowCount="1">
  <x:tableColumns count="4">
    <x:tableColumn id="1" name="motivo_cancelamento"/>
    <x:tableColumn id="2" name="quantidade"/>
    <x:tableColumn id="3" name="percentual"/>
    <x:tableColumn id="4" name="percentual_acumulado"/>
  </x:tableColumns>
  <x:tableStyleInfo name="TableStyleMedium2" showRowStripes="1"/>
</x:table>
</file>

<file path=xl/tables/table12.xml><?xml version="1.0" encoding="utf-8"?>
<x:table xmlns:x="http://schemas.openxmlformats.org/spreadsheetml/2006/main" id="12" name="TblTopProdutos" displayName="TblTopProdutos" ref="A39:G49" headerRowCount="1">
  <x:tableColumns count="7">
    <x:tableColumn id="1" name="produto_id"/>
    <x:tableColumn id="2" name="produto"/>
    <x:tableColumn id="3" name="categoria"/>
    <x:tableColumn id="4" name="quantidade_vendida"/>
    <x:tableColumn id="5" name="receita_total"/>
    <x:tableColumn id="6" name="lucro_total"/>
    <x:tableColumn id="7" name="margem_pct"/>
  </x:tableColumns>
  <x:tableStyleInfo name="TableStyleMedium2" showRowStripes="1"/>
</x:table>
</file>

<file path=xl/tables/table13.xml><?xml version="1.0" encoding="utf-8"?>
<x:table xmlns:x="http://schemas.openxmlformats.org/spreadsheetml/2006/main" id="13" name="TblInstrucoesGraficos" displayName="TblInstrucoesGraficos" ref="A3:E9" headerRowCount="1">
  <x:tableColumns count="5">
    <x:tableColumn id="1" name="grafico"/>
    <x:tableColumn id="2" name="base"/>
    <x:tableColumn id="3" name="eixo_x"/>
    <x:tableColumn id="4" name="valores"/>
    <x:tableColumn id="5" name="objetiv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25c5b7fcc54b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cbecff0a2db47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67f849d43141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b094f8b48214ea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d7e982a61c431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246e84417a4f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8336777f3014f45" /><Relationship Type="http://schemas.openxmlformats.org/officeDocument/2006/relationships/table" Target="/xl/tables/table8.xml" Id="R0435a2e233a14f12" /><Relationship Type="http://schemas.openxmlformats.org/officeDocument/2006/relationships/table" Target="/xl/tables/table9.xml" Id="Rc301b3a2f8464af1" /><Relationship Type="http://schemas.openxmlformats.org/officeDocument/2006/relationships/table" Target="/xl/tables/table10.xml" Id="R585b3a6c65ae40a5" /><Relationship Type="http://schemas.openxmlformats.org/officeDocument/2006/relationships/table" Target="/xl/tables/table11.xml" Id="R84a6a5ca1c6b4628" /><Relationship Type="http://schemas.openxmlformats.org/officeDocument/2006/relationships/table" Target="/xl/tables/table12.xml" Id="R32558f33ba50442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3.xml" Id="Rb8fd3549a45b488a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5" t="str">
        <x:v>Mock de dados - Projeto E-commerce / Estatística</x:v>
      </x:c>
      <x:c r="B1" t="str">
        <x:v>Mock de dados - Projeto E-commerce / Estatística</x:v>
      </x:c>
      <x:c r="C1" t="str">
        <x:v>Mock de dados - Projeto E-commerce / Estatística</x:v>
      </x:c>
      <x:c r="D1" t="str">
        <x:v>Mock de dados - Projeto E-commerce / Estatística</x:v>
      </x:c>
      <x:c r="E1" t="str">
        <x:v>Mock de dados - Projeto E-commerce / Estatística</x:v>
      </x:c>
      <x:c r="F1" t="str">
        <x:v>Mock de dados - Projeto E-commerce / Estatística</x:v>
      </x:c>
      <x:c r="G1" t="str">
        <x:v>Mock de dados - Projeto E-commerce / Estatística</x:v>
      </x:c>
      <x:c r="H1" t="str">
        <x:v>Mock de dados - Projeto E-commerce / Estatística</x:v>
      </x:c>
    </x:row>
    <x:row r="3">
      <x:c r="A3" s="14" t="str">
        <x:v>Objetivo</x:v>
      </x:c>
      <x:c r="B3" s="20" t="str">
        <x:v>Base fictícia para montar gráficos e indicadores estatísticos no Excel.</x:v>
      </x:c>
    </x:row>
    <x:row r="4">
      <x:c r="A4" s="14" t="str">
        <x:v>Contexto</x:v>
      </x:c>
      <x:c r="B4" s="20" t="str">
        <x:v>Dados baseados no modelo do projeto: clientes, fornecedores, produtos, pedidos e itens de pedido.</x:v>
      </x:c>
    </x:row>
    <x:row r="5">
      <x:c r="A5" s="14" t="str">
        <x:v>Período simulado</x:v>
      </x:c>
      <x:c r="B5" s="20" t="str">
        <x:v>Janeiro a junho de 2026.</x:v>
      </x:c>
    </x:row>
    <x:row r="6">
      <x:c r="A6" s="14" t="str">
        <x:v>Volume</x:v>
      </x:c>
      <x:c r="B6" s="20" t="str">
        <x:v>60 clientes, 8 fornecedores, 30 produtos, 220 pedidos e 394 itens analíticos.</x:v>
      </x:c>
    </x:row>
    <x:row r="7">
      <x:c r="A7" s="14" t="str">
        <x:v>Uso recomendado</x:v>
      </x:c>
      <x:c r="B7" s="20" t="str">
        <x:v>Use a aba Resumos_Graficos para gráficos rápidos e Base_Analitica para análises adicionais.</x:v>
      </x:c>
    </x:row>
    <x:row r="8">
      <x:c r="A8" s="14" t="str">
        <x:v>Observação</x:v>
      </x:c>
      <x:c r="B8" s="20" t="str">
        <x:v>Dados totalmente fictícios, criados apenas para atividade acadêmica.</x:v>
      </x:c>
    </x:row>
    <x:row r="9">
      <x:c r="A9" s="14" t="str">
        <x:v>Fonte - Repositório</x:v>
      </x:c>
      <x:c r="B9" s="20" t="str">
        <x:v>https://github.com/StormYasta/Projeto_Ecomerce</x:v>
      </x:c>
    </x:row>
    <x:row r="10">
      <x:c r="A10" s="14" t="str">
        <x:v>Fonte - Documento</x:v>
      </x:c>
      <x:c r="B10" s="20" t="str">
        <x:v>Arquivo Projeto extensão.docx.pdf enviado pelo usuário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4" max="4" width="16.690000534057617" hidden="0" customWidth="1"/>
    <x:col min="5" max="5" width="28.260000228881836" hidden="0" customWidth="1"/>
    <x:col min="8" max="8" width="16.959999084472656" hidden="0" customWidth="1"/>
    <x:col min="1" max="1" width="10.630000114440918" hidden="0" customWidth="1"/>
    <x:col min="2" max="2" width="7.400000095367432" hidden="0" customWidth="1"/>
    <x:col min="3" max="3" width="11.979999542236328" hidden="0" customWidth="1"/>
    <x:col min="6" max="6" width="10.899999618530273" hidden="0" customWidth="1"/>
    <x:col min="7" max="7" width="10.770000457763672" hidden="0" customWidth="1"/>
    <x:col min="9" max="9" width="13.59000015258789" hidden="0" customWidth="1"/>
    <x:col min="10" max="10" width="16.690000534057617" hidden="0" customWidth="1"/>
    <x:col min="11" max="11" width="14.270000457763672" hidden="0" customWidth="1"/>
    <x:col min="12" max="12" width="14" hidden="0" customWidth="1"/>
  </x:cols>
  <x:sheetData>
    <x:row r="1">
      <x:c r="A1" s="26" t="str">
        <x:v>cliente_id</x:v>
      </x:c>
      <x:c r="B1" s="26" t="str">
        <x:v>nome</x:v>
      </x:c>
      <x:c r="C1" s="26" t="str">
        <x:v>sobrenome</x:v>
      </x:c>
      <x:c r="D1" s="26" t="str">
        <x:v>cliente</x:v>
      </x:c>
      <x:c r="E1" s="26" t="str">
        <x:v>email</x:v>
      </x:c>
      <x:c r="F1" s="26" t="str">
        <x:v>telefone</x:v>
      </x:c>
      <x:c r="G1" s="26" t="str">
        <x:v>uf_cliente</x:v>
      </x:c>
      <x:c r="H1" s="26" t="str">
        <x:v>cidade_cliente</x:v>
      </x:c>
      <x:c r="I1" s="26" t="str">
        <x:v>idade_cliente</x:v>
      </x:c>
      <x:c r="J1" s="26" t="str">
        <x:v>data_nascimento</x:v>
      </x:c>
      <x:c r="K1" s="26" t="str">
        <x:v>data_cadastro</x:v>
      </x:c>
      <x:c r="L1" s="26" t="str">
        <x:v>status_cliente</x:v>
      </x:c>
    </x:row>
    <x:row r="2">
      <x:c r="A2" s="34" t="n">
        <x:v>1</x:v>
      </x:c>
      <x:c r="B2" t="str">
        <x:v>Nicolas</x:v>
      </x:c>
      <x:c r="C2" t="str">
        <x:v>Souza</x:v>
      </x:c>
      <x:c r="D2" t="str">
        <x:v>Nicolas Souza</x:v>
      </x:c>
      <x:c r="E2" t="str">
        <x:v>nicolas.souza1@email.com</x:v>
      </x:c>
      <x:c r="F2" t="str">
        <x:v>17937295260</x:v>
      </x:c>
      <x:c r="G2" t="str">
        <x:v>SP</x:v>
      </x:c>
      <x:c r="H2" t="str">
        <x:v>Mirassol</x:v>
      </x:c>
      <x:c r="I2" s="34" t="n">
        <x:v>18</x:v>
      </x:c>
      <x:c r="J2" s="32" t="n">
        <x:v>39530</x:v>
      </x:c>
      <x:c r="K2" s="32" t="n">
        <x:v>45849</x:v>
      </x:c>
      <x:c r="L2" t="str">
        <x:v>ATIVO</x:v>
      </x:c>
    </x:row>
    <x:row r="3">
      <x:c r="A3" s="34" t="n">
        <x:v>2</x:v>
      </x:c>
      <x:c r="B3" t="str">
        <x:v>Beatriz</x:v>
      </x:c>
      <x:c r="C3" t="str">
        <x:v>Costa</x:v>
      </x:c>
      <x:c r="D3" t="str">
        <x:v>Beatriz Costa</x:v>
      </x:c>
      <x:c r="E3" t="str">
        <x:v>beatriz.costa2@email.com</x:v>
      </x:c>
      <x:c r="F3" t="str">
        <x:v>17935503389</x:v>
      </x:c>
      <x:c r="G3" t="str">
        <x:v>SP</x:v>
      </x:c>
      <x:c r="H3" t="str">
        <x:v>Votuporanga</x:v>
      </x:c>
      <x:c r="I3" s="34" t="n">
        <x:v>24</x:v>
      </x:c>
      <x:c r="J3" s="32" t="n">
        <x:v>37435</x:v>
      </x:c>
      <x:c r="K3" s="32" t="n">
        <x:v>45828</x:v>
      </x:c>
      <x:c r="L3" t="str">
        <x:v>ATIVO</x:v>
      </x:c>
    </x:row>
    <x:row r="4">
      <x:c r="A4" s="34" t="n">
        <x:v>3</x:v>
      </x:c>
      <x:c r="B4" t="str">
        <x:v>Matheus</x:v>
      </x:c>
      <x:c r="C4" t="str">
        <x:v>Almeida</x:v>
      </x:c>
      <x:c r="D4" t="str">
        <x:v>Matheus Almeida</x:v>
      </x:c>
      <x:c r="E4" t="str">
        <x:v>matheus.almeida3@email.com</x:v>
      </x:c>
      <x:c r="F4" t="str">
        <x:v>17948537831</x:v>
      </x:c>
      <x:c r="G4" t="str">
        <x:v>SP</x:v>
      </x:c>
      <x:c r="H4" t="str">
        <x:v>Votuporanga</x:v>
      </x:c>
      <x:c r="I4" s="34" t="n">
        <x:v>23</x:v>
      </x:c>
      <x:c r="J4" s="32" t="n">
        <x:v>37874</x:v>
      </x:c>
      <x:c r="K4" s="32" t="n">
        <x:v>45981</x:v>
      </x:c>
      <x:c r="L4" t="str">
        <x:v>ATIVO</x:v>
      </x:c>
    </x:row>
    <x:row r="5">
      <x:c r="A5" s="34" t="n">
        <x:v>4</x:v>
      </x:c>
      <x:c r="B5" t="str">
        <x:v>Letícia</x:v>
      </x:c>
      <x:c r="C5" t="str">
        <x:v>Santos</x:v>
      </x:c>
      <x:c r="D5" t="str">
        <x:v>Letícia Santos</x:v>
      </x:c>
      <x:c r="E5" t="str">
        <x:v>letícia.santos4@email.com</x:v>
      </x:c>
      <x:c r="F5" t="str">
        <x:v>17913556182</x:v>
      </x:c>
      <x:c r="G5" t="str">
        <x:v>SP</x:v>
      </x:c>
      <x:c r="H5" t="str">
        <x:v>Catanduva</x:v>
      </x:c>
      <x:c r="I5" s="34" t="n">
        <x:v>36</x:v>
      </x:c>
      <x:c r="J5" s="32" t="n">
        <x:v>32932</x:v>
      </x:c>
      <x:c r="K5" s="32" t="n">
        <x:v>45775</x:v>
      </x:c>
      <x:c r="L5" t="str">
        <x:v>ATIVO</x:v>
      </x:c>
    </x:row>
    <x:row r="6">
      <x:c r="A6" s="34" t="n">
        <x:v>5</x:v>
      </x:c>
      <x:c r="B6" t="str">
        <x:v>Olívia</x:v>
      </x:c>
      <x:c r="C6" t="str">
        <x:v>Gomes</x:v>
      </x:c>
      <x:c r="D6" t="str">
        <x:v>Olívia Gomes</x:v>
      </x:c>
      <x:c r="E6" t="str">
        <x:v>olívia.gomes5@email.com</x:v>
      </x:c>
      <x:c r="F6" t="str">
        <x:v>17994196727</x:v>
      </x:c>
      <x:c r="G6" t="str">
        <x:v>GO</x:v>
      </x:c>
      <x:c r="H6" t="str">
        <x:v>Goiânia</x:v>
      </x:c>
      <x:c r="I6" s="34" t="n">
        <x:v>41</x:v>
      </x:c>
      <x:c r="J6" s="32" t="n">
        <x:v>31205</x:v>
      </x:c>
      <x:c r="K6" s="32" t="n">
        <x:v>45970</x:v>
      </x:c>
      <x:c r="L6" t="str">
        <x:v>INATIVO</x:v>
      </x:c>
    </x:row>
    <x:row r="7">
      <x:c r="A7" s="34" t="n">
        <x:v>6</x:v>
      </x:c>
      <x:c r="B7" t="str">
        <x:v>Yasmin</x:v>
      </x:c>
      <x:c r="C7" t="str">
        <x:v>Santos</x:v>
      </x:c>
      <x:c r="D7" t="str">
        <x:v>Yasmin Santos</x:v>
      </x:c>
      <x:c r="E7" t="str">
        <x:v>yasmin.santos6@email.com</x:v>
      </x:c>
      <x:c r="F7" t="str">
        <x:v>17950929647</x:v>
      </x:c>
      <x:c r="G7" t="str">
        <x:v>MG</x:v>
      </x:c>
      <x:c r="H7" t="str">
        <x:v>Uberaba</x:v>
      </x:c>
      <x:c r="I7" s="34" t="n">
        <x:v>52</x:v>
      </x:c>
      <x:c r="J7" s="32" t="n">
        <x:v>27371</x:v>
      </x:c>
      <x:c r="K7" s="32" t="n">
        <x:v>45731</x:v>
      </x:c>
      <x:c r="L7" t="str">
        <x:v>ATIVO</x:v>
      </x:c>
    </x:row>
    <x:row r="8">
      <x:c r="A8" s="34" t="n">
        <x:v>7</x:v>
      </x:c>
      <x:c r="B8" t="str">
        <x:v>Thiago</x:v>
      </x:c>
      <x:c r="C8" t="str">
        <x:v>Gomes</x:v>
      </x:c>
      <x:c r="D8" t="str">
        <x:v>Thiago Gomes</x:v>
      </x:c>
      <x:c r="E8" t="str">
        <x:v>thiago.gomes7@email.com</x:v>
      </x:c>
      <x:c r="F8" t="str">
        <x:v>17904308421</x:v>
      </x:c>
      <x:c r="G8" t="str">
        <x:v>RJ</x:v>
      </x:c>
      <x:c r="H8" t="str">
        <x:v>Rio de Janeiro</x:v>
      </x:c>
      <x:c r="I8" s="34" t="n">
        <x:v>61</x:v>
      </x:c>
      <x:c r="J8" s="32" t="n">
        <x:v>23920</x:v>
      </x:c>
      <x:c r="K8" s="32" t="n">
        <x:v>45665</x:v>
      </x:c>
      <x:c r="L8" t="str">
        <x:v>ATIVO</x:v>
      </x:c>
    </x:row>
    <x:row r="9">
      <x:c r="A9" s="34" t="n">
        <x:v>8</x:v>
      </x:c>
      <x:c r="B9" t="str">
        <x:v>Mariana</x:v>
      </x:c>
      <x:c r="C9" t="str">
        <x:v>Pereira</x:v>
      </x:c>
      <x:c r="D9" t="str">
        <x:v>Mariana Pereira</x:v>
      </x:c>
      <x:c r="E9" t="str">
        <x:v>mariana.pereira8@email.com</x:v>
      </x:c>
      <x:c r="F9" t="str">
        <x:v>17953100814</x:v>
      </x:c>
      <x:c r="G9" t="str">
        <x:v>SP</x:v>
      </x:c>
      <x:c r="H9" t="str">
        <x:v>São Paulo</x:v>
      </x:c>
      <x:c r="I9" s="34" t="n">
        <x:v>63</x:v>
      </x:c>
      <x:c r="J9" s="32" t="n">
        <x:v>23169</x:v>
      </x:c>
      <x:c r="K9" s="32" t="n">
        <x:v>45977</x:v>
      </x:c>
      <x:c r="L9" t="str">
        <x:v>INATIVO</x:v>
      </x:c>
    </x:row>
    <x:row r="10">
      <x:c r="A10" s="34" t="n">
        <x:v>9</x:v>
      </x:c>
      <x:c r="B10" t="str">
        <x:v>Yasmin</x:v>
      </x:c>
      <x:c r="C10" t="str">
        <x:v>Almeida</x:v>
      </x:c>
      <x:c r="D10" t="str">
        <x:v>Yasmin Almeida</x:v>
      </x:c>
      <x:c r="E10" t="str">
        <x:v>yasmin.almeida9@email.com</x:v>
      </x:c>
      <x:c r="F10" t="str">
        <x:v>17978461803</x:v>
      </x:c>
      <x:c r="G10" t="str">
        <x:v>SP</x:v>
      </x:c>
      <x:c r="H10" t="str">
        <x:v>Catanduva</x:v>
      </x:c>
      <x:c r="I10" s="34" t="n">
        <x:v>33</x:v>
      </x:c>
      <x:c r="J10" s="32" t="n">
        <x:v>34321</x:v>
      </x:c>
      <x:c r="K10" s="32" t="n">
        <x:v>45909</x:v>
      </x:c>
      <x:c r="L10" t="str">
        <x:v>ATIVO</x:v>
      </x:c>
    </x:row>
    <x:row r="11">
      <x:c r="A11" s="34" t="n">
        <x:v>10</x:v>
      </x:c>
      <x:c r="B11" t="str">
        <x:v>Tatiane</x:v>
      </x:c>
      <x:c r="C11" t="str">
        <x:v>Rodrigues</x:v>
      </x:c>
      <x:c r="D11" t="str">
        <x:v>Tatiane Rodrigues</x:v>
      </x:c>
      <x:c r="E11" t="str">
        <x:v>tatiane.rodrigues10@email.com</x:v>
      </x:c>
      <x:c r="F11" t="str">
        <x:v>17914716857</x:v>
      </x:c>
      <x:c r="G11" t="str">
        <x:v>SP</x:v>
      </x:c>
      <x:c r="H11" t="str">
        <x:v>Catanduva</x:v>
      </x:c>
      <x:c r="I11" s="34" t="n">
        <x:v>50</x:v>
      </x:c>
      <x:c r="J11" s="32" t="n">
        <x:v>27975</x:v>
      </x:c>
      <x:c r="K11" s="32" t="n">
        <x:v>45685</x:v>
      </x:c>
      <x:c r="L11" t="str">
        <x:v>ATIVO</x:v>
      </x:c>
    </x:row>
    <x:row r="12">
      <x:c r="A12" s="34" t="n">
        <x:v>11</x:v>
      </x:c>
      <x:c r="B12" t="str">
        <x:v>Felipe</x:v>
      </x:c>
      <x:c r="C12" t="str">
        <x:v>Martins</x:v>
      </x:c>
      <x:c r="D12" t="str">
        <x:v>Felipe Martins</x:v>
      </x:c>
      <x:c r="E12" t="str">
        <x:v>felipe.martins11@email.com</x:v>
      </x:c>
      <x:c r="F12" t="str">
        <x:v>17933744231</x:v>
      </x:c>
      <x:c r="G12" t="str">
        <x:v>RJ</x:v>
      </x:c>
      <x:c r="H12" t="str">
        <x:v>Rio de Janeiro</x:v>
      </x:c>
      <x:c r="I12" s="34" t="n">
        <x:v>42</x:v>
      </x:c>
      <x:c r="J12" s="32" t="n">
        <x:v>30883</x:v>
      </x:c>
      <x:c r="K12" s="32" t="n">
        <x:v>45886</x:v>
      </x:c>
      <x:c r="L12" t="str">
        <x:v>SUSPENSO</x:v>
      </x:c>
    </x:row>
    <x:row r="13">
      <x:c r="A13" s="34" t="n">
        <x:v>12</x:v>
      </x:c>
      <x:c r="B13" t="str">
        <x:v>Renan</x:v>
      </x:c>
      <x:c r="C13" t="str">
        <x:v>Silva</x:v>
      </x:c>
      <x:c r="D13" t="str">
        <x:v>Renan Silva</x:v>
      </x:c>
      <x:c r="E13" t="str">
        <x:v>renan.silva12@email.com</x:v>
      </x:c>
      <x:c r="F13" t="str">
        <x:v>17986028436</x:v>
      </x:c>
      <x:c r="G13" t="str">
        <x:v>RJ</x:v>
      </x:c>
      <x:c r="H13" t="str">
        <x:v>Rio de Janeiro</x:v>
      </x:c>
      <x:c r="I13" s="34" t="n">
        <x:v>61</x:v>
      </x:c>
      <x:c r="J13" s="32" t="n">
        <x:v>24010</x:v>
      </x:c>
      <x:c r="K13" s="32" t="n">
        <x:v>45802</x:v>
      </x:c>
      <x:c r="L13" t="str">
        <x:v>ATIVO</x:v>
      </x:c>
    </x:row>
    <x:row r="14">
      <x:c r="A14" s="34" t="n">
        <x:v>13</x:v>
      </x:c>
      <x:c r="B14" t="str">
        <x:v>João</x:v>
      </x:c>
      <x:c r="C14" t="str">
        <x:v>Rodrigues</x:v>
      </x:c>
      <x:c r="D14" t="str">
        <x:v>João Rodrigues</x:v>
      </x:c>
      <x:c r="E14" t="str">
        <x:v>joão.rodrigues13@email.com</x:v>
      </x:c>
      <x:c r="F14" t="str">
        <x:v>17923978249</x:v>
      </x:c>
      <x:c r="G14" t="str">
        <x:v>SP</x:v>
      </x:c>
      <x:c r="H14" t="str">
        <x:v>São José do Rio Preto</x:v>
      </x:c>
      <x:c r="I14" s="34" t="n">
        <x:v>64</x:v>
      </x:c>
      <x:c r="J14" s="32" t="n">
        <x:v>22989</x:v>
      </x:c>
      <x:c r="K14" s="32" t="n">
        <x:v>45925</x:v>
      </x:c>
      <x:c r="L14" t="str">
        <x:v>ATIVO</x:v>
      </x:c>
    </x:row>
    <x:row r="15">
      <x:c r="A15" s="34" t="n">
        <x:v>14</x:v>
      </x:c>
      <x:c r="B15" t="str">
        <x:v>Diego</x:v>
      </x:c>
      <x:c r="C15" t="str">
        <x:v>Carvalho</x:v>
      </x:c>
      <x:c r="D15" t="str">
        <x:v>Diego Carvalho</x:v>
      </x:c>
      <x:c r="E15" t="str">
        <x:v>diego.carvalho14@email.com</x:v>
      </x:c>
      <x:c r="F15" t="str">
        <x:v>17921682744</x:v>
      </x:c>
      <x:c r="G15" t="str">
        <x:v>MG</x:v>
      </x:c>
      <x:c r="H15" t="str">
        <x:v>Belo Horizonte</x:v>
      </x:c>
      <x:c r="I15" s="34" t="n">
        <x:v>50</x:v>
      </x:c>
      <x:c r="J15" s="32" t="n">
        <x:v>28040</x:v>
      </x:c>
      <x:c r="K15" s="32" t="n">
        <x:v>45728</x:v>
      </x:c>
      <x:c r="L15" t="str">
        <x:v>ATIVO</x:v>
      </x:c>
    </x:row>
    <x:row r="16">
      <x:c r="A16" s="34" t="n">
        <x:v>15</x:v>
      </x:c>
      <x:c r="B16" t="str">
        <x:v>Beatriz</x:v>
      </x:c>
      <x:c r="C16" t="str">
        <x:v>Araujo</x:v>
      </x:c>
      <x:c r="D16" t="str">
        <x:v>Beatriz Araujo</x:v>
      </x:c>
      <x:c r="E16" t="str">
        <x:v>beatriz.araujo15@email.com</x:v>
      </x:c>
      <x:c r="F16" t="str">
        <x:v>17948718453</x:v>
      </x:c>
      <x:c r="G16" t="str">
        <x:v>SP</x:v>
      </x:c>
      <x:c r="H16" t="str">
        <x:v>São José do Rio Preto</x:v>
      </x:c>
      <x:c r="I16" s="34" t="n">
        <x:v>56</x:v>
      </x:c>
      <x:c r="J16" s="32" t="n">
        <x:v>25735</x:v>
      </x:c>
      <x:c r="K16" s="32" t="n">
        <x:v>45661</x:v>
      </x:c>
      <x:c r="L16" t="str">
        <x:v>ATIVO</x:v>
      </x:c>
    </x:row>
    <x:row r="17">
      <x:c r="A17" s="34" t="n">
        <x:v>16</x:v>
      </x:c>
      <x:c r="B17" t="str">
        <x:v>Larissa</x:v>
      </x:c>
      <x:c r="C17" t="str">
        <x:v>Martins</x:v>
      </x:c>
      <x:c r="D17" t="str">
        <x:v>Larissa Martins</x:v>
      </x:c>
      <x:c r="E17" t="str">
        <x:v>larissa.martins16@email.com</x:v>
      </x:c>
      <x:c r="F17" t="str">
        <x:v>17965228535</x:v>
      </x:c>
      <x:c r="G17" t="str">
        <x:v>SP</x:v>
      </x:c>
      <x:c r="H17" t="str">
        <x:v>São José do Rio Preto</x:v>
      </x:c>
      <x:c r="I17" s="34" t="n">
        <x:v>33</x:v>
      </x:c>
      <x:c r="J17" s="32" t="n">
        <x:v>34245</x:v>
      </x:c>
      <x:c r="K17" s="32" t="n">
        <x:v>45712</x:v>
      </x:c>
      <x:c r="L17" t="str">
        <x:v>ATIVO</x:v>
      </x:c>
    </x:row>
    <x:row r="18">
      <x:c r="A18" s="34" t="n">
        <x:v>17</x:v>
      </x:c>
      <x:c r="B18" t="str">
        <x:v>Beatriz</x:v>
      </x:c>
      <x:c r="C18" t="str">
        <x:v>Nascimento</x:v>
      </x:c>
      <x:c r="D18" t="str">
        <x:v>Beatriz Nascimento</x:v>
      </x:c>
      <x:c r="E18" t="str">
        <x:v>beatriz.nascimento17@email.com</x:v>
      </x:c>
      <x:c r="F18" t="str">
        <x:v>17970823176</x:v>
      </x:c>
      <x:c r="G18" t="str">
        <x:v>PR</x:v>
      </x:c>
      <x:c r="H18" t="str">
        <x:v>Londrina</x:v>
      </x:c>
      <x:c r="I18" s="34" t="n">
        <x:v>60</x:v>
      </x:c>
      <x:c r="J18" s="32" t="n">
        <x:v>24337</x:v>
      </x:c>
      <x:c r="K18" s="32" t="n">
        <x:v>45725</x:v>
      </x:c>
      <x:c r="L18" t="str">
        <x:v>ATIVO</x:v>
      </x:c>
    </x:row>
    <x:row r="19">
      <x:c r="A19" s="34" t="n">
        <x:v>18</x:v>
      </x:c>
      <x:c r="B19" t="str">
        <x:v>Thiago</x:v>
      </x:c>
      <x:c r="C19" t="str">
        <x:v>Nascimento</x:v>
      </x:c>
      <x:c r="D19" t="str">
        <x:v>Thiago Nascimento</x:v>
      </x:c>
      <x:c r="E19" t="str">
        <x:v>thiago.nascimento18@email.com</x:v>
      </x:c>
      <x:c r="F19" t="str">
        <x:v>17987225156</x:v>
      </x:c>
      <x:c r="G19" t="str">
        <x:v>PR</x:v>
      </x:c>
      <x:c r="H19" t="str">
        <x:v>Curitiba</x:v>
      </x:c>
      <x:c r="I19" s="34" t="n">
        <x:v>30</x:v>
      </x:c>
      <x:c r="J19" s="32" t="n">
        <x:v>35409</x:v>
      </x:c>
      <x:c r="K19" s="32" t="n">
        <x:v>45860</x:v>
      </x:c>
      <x:c r="L19" t="str">
        <x:v>ATIVO</x:v>
      </x:c>
    </x:row>
    <x:row r="20">
      <x:c r="A20" s="34" t="n">
        <x:v>19</x:v>
      </x:c>
      <x:c r="B20" t="str">
        <x:v>Sofia</x:v>
      </x:c>
      <x:c r="C20" t="str">
        <x:v>Nascimento</x:v>
      </x:c>
      <x:c r="D20" t="str">
        <x:v>Sofia Nascimento</x:v>
      </x:c>
      <x:c r="E20" t="str">
        <x:v>sofia.nascimento19@email.com</x:v>
      </x:c>
      <x:c r="F20" t="str">
        <x:v>17974346088</x:v>
      </x:c>
      <x:c r="G20" t="str">
        <x:v>SP</x:v>
      </x:c>
      <x:c r="H20" t="str">
        <x:v>Catanduva</x:v>
      </x:c>
      <x:c r="I20" s="34" t="n">
        <x:v>32</x:v>
      </x:c>
      <x:c r="J20" s="32" t="n">
        <x:v>34376</x:v>
      </x:c>
      <x:c r="K20" s="32" t="n">
        <x:v>45676</x:v>
      </x:c>
      <x:c r="L20" t="str">
        <x:v>ATIVO</x:v>
      </x:c>
    </x:row>
    <x:row r="21">
      <x:c r="A21" s="34" t="n">
        <x:v>20</x:v>
      </x:c>
      <x:c r="B21" t="str">
        <x:v>Henrique</x:v>
      </x:c>
      <x:c r="C21" t="str">
        <x:v>Silva</x:v>
      </x:c>
      <x:c r="D21" t="str">
        <x:v>Henrique Silva</x:v>
      </x:c>
      <x:c r="E21" t="str">
        <x:v>henrique.silva20@email.com</x:v>
      </x:c>
      <x:c r="F21" t="str">
        <x:v>17944349361</x:v>
      </x:c>
      <x:c r="G21" t="str">
        <x:v>SP</x:v>
      </x:c>
      <x:c r="H21" t="str">
        <x:v>Ribeirão Preto</x:v>
      </x:c>
      <x:c r="I21" s="34" t="n">
        <x:v>21</x:v>
      </x:c>
      <x:c r="J21" s="32" t="n">
        <x:v>38445</x:v>
      </x:c>
      <x:c r="K21" s="32" t="n">
        <x:v>45685</x:v>
      </x:c>
      <x:c r="L21" t="str">
        <x:v>ATIVO</x:v>
      </x:c>
    </x:row>
    <x:row r="22">
      <x:c r="A22" s="34" t="n">
        <x:v>21</x:v>
      </x:c>
      <x:c r="B22" t="str">
        <x:v>Henrique</x:v>
      </x:c>
      <x:c r="C22" t="str">
        <x:v>Pereira</x:v>
      </x:c>
      <x:c r="D22" t="str">
        <x:v>Henrique Pereira</x:v>
      </x:c>
      <x:c r="E22" t="str">
        <x:v>henrique.pereira21@email.com</x:v>
      </x:c>
      <x:c r="F22" t="str">
        <x:v>17963440831</x:v>
      </x:c>
      <x:c r="G22" t="str">
        <x:v>RJ</x:v>
      </x:c>
      <x:c r="H22" t="str">
        <x:v>Rio de Janeiro</x:v>
      </x:c>
      <x:c r="I22" s="34" t="n">
        <x:v>52</x:v>
      </x:c>
      <x:c r="J22" s="32" t="n">
        <x:v>27112</x:v>
      </x:c>
      <x:c r="K22" s="32" t="n">
        <x:v>45949</x:v>
      </x:c>
      <x:c r="L22" t="str">
        <x:v>ATIVO</x:v>
      </x:c>
    </x:row>
    <x:row r="23">
      <x:c r="A23" s="34" t="n">
        <x:v>22</x:v>
      </x:c>
      <x:c r="B23" t="str">
        <x:v>Pedro</x:v>
      </x:c>
      <x:c r="C23" t="str">
        <x:v>Martins</x:v>
      </x:c>
      <x:c r="D23" t="str">
        <x:v>Pedro Martins</x:v>
      </x:c>
      <x:c r="E23" t="str">
        <x:v>pedro.martins22@email.com</x:v>
      </x:c>
      <x:c r="F23" t="str">
        <x:v>17955177213</x:v>
      </x:c>
      <x:c r="G23" t="str">
        <x:v>SP</x:v>
      </x:c>
      <x:c r="H23" t="str">
        <x:v>São José do Rio Preto</x:v>
      </x:c>
      <x:c r="I23" s="34" t="n">
        <x:v>24</x:v>
      </x:c>
      <x:c r="J23" s="32" t="n">
        <x:v>37574</x:v>
      </x:c>
      <x:c r="K23" s="32" t="n">
        <x:v>45822</x:v>
      </x:c>
      <x:c r="L23" t="str">
        <x:v>ATIVO</x:v>
      </x:c>
    </x:row>
    <x:row r="24">
      <x:c r="A24" s="34" t="n">
        <x:v>23</x:v>
      </x:c>
      <x:c r="B24" t="str">
        <x:v>Matheus</x:v>
      </x:c>
      <x:c r="C24" t="str">
        <x:v>Silva</x:v>
      </x:c>
      <x:c r="D24" t="str">
        <x:v>Matheus Silva</x:v>
      </x:c>
      <x:c r="E24" t="str">
        <x:v>matheus.silva23@email.com</x:v>
      </x:c>
      <x:c r="F24" t="str">
        <x:v>17914665841</x:v>
      </x:c>
      <x:c r="G24" t="str">
        <x:v>RJ</x:v>
      </x:c>
      <x:c r="H24" t="str">
        <x:v>Rio de Janeiro</x:v>
      </x:c>
      <x:c r="I24" s="34" t="n">
        <x:v>21</x:v>
      </x:c>
      <x:c r="J24" s="32" t="n">
        <x:v>38557</x:v>
      </x:c>
      <x:c r="K24" s="32" t="n">
        <x:v>45834</x:v>
      </x:c>
      <x:c r="L24" t="str">
        <x:v>ATIVO</x:v>
      </x:c>
    </x:row>
    <x:row r="25">
      <x:c r="A25" s="34" t="n">
        <x:v>24</x:v>
      </x:c>
      <x:c r="B25" t="str">
        <x:v>Gabriela</x:v>
      </x:c>
      <x:c r="C25" t="str">
        <x:v>Nascimento</x:v>
      </x:c>
      <x:c r="D25" t="str">
        <x:v>Gabriela Nascimento</x:v>
      </x:c>
      <x:c r="E25" t="str">
        <x:v>gabriela.nascimento24@email.com</x:v>
      </x:c>
      <x:c r="F25" t="str">
        <x:v>17910117988</x:v>
      </x:c>
      <x:c r="G25" t="str">
        <x:v>SP</x:v>
      </x:c>
      <x:c r="H25" t="str">
        <x:v>Votuporanga</x:v>
      </x:c>
      <x:c r="I25" s="34" t="n">
        <x:v>29</x:v>
      </x:c>
      <x:c r="J25" s="32" t="n">
        <x:v>35565</x:v>
      </x:c>
      <x:c r="K25" s="32" t="n">
        <x:v>45775</x:v>
      </x:c>
      <x:c r="L25" t="str">
        <x:v>ATIVO</x:v>
      </x:c>
    </x:row>
    <x:row r="26">
      <x:c r="A26" s="34" t="n">
        <x:v>25</x:v>
      </x:c>
      <x:c r="B26" t="str">
        <x:v>Renan</x:v>
      </x:c>
      <x:c r="C26" t="str">
        <x:v>Carvalho</x:v>
      </x:c>
      <x:c r="D26" t="str">
        <x:v>Renan Carvalho</x:v>
      </x:c>
      <x:c r="E26" t="str">
        <x:v>renan.carvalho25@email.com</x:v>
      </x:c>
      <x:c r="F26" t="str">
        <x:v>17931726318</x:v>
      </x:c>
      <x:c r="G26" t="str">
        <x:v>MG</x:v>
      </x:c>
      <x:c r="H26" t="str">
        <x:v>Uberaba</x:v>
      </x:c>
      <x:c r="I26" s="34" t="n">
        <x:v>59</x:v>
      </x:c>
      <x:c r="J26" s="32" t="n">
        <x:v>24742</x:v>
      </x:c>
      <x:c r="K26" s="32" t="n">
        <x:v>45660</x:v>
      </x:c>
      <x:c r="L26" t="str">
        <x:v>ATIVO</x:v>
      </x:c>
    </x:row>
    <x:row r="27">
      <x:c r="A27" s="34" t="n">
        <x:v>26</x:v>
      </x:c>
      <x:c r="B27" t="str">
        <x:v>Pedro</x:v>
      </x:c>
      <x:c r="C27" t="str">
        <x:v>Almeida</x:v>
      </x:c>
      <x:c r="D27" t="str">
        <x:v>Pedro Almeida</x:v>
      </x:c>
      <x:c r="E27" t="str">
        <x:v>pedro.almeida26@email.com</x:v>
      </x:c>
      <x:c r="F27" t="str">
        <x:v>17935594951</x:v>
      </x:c>
      <x:c r="G27" t="str">
        <x:v>SP</x:v>
      </x:c>
      <x:c r="H27" t="str">
        <x:v>Votuporanga</x:v>
      </x:c>
      <x:c r="I27" s="34" t="n">
        <x:v>21</x:v>
      </x:c>
      <x:c r="J27" s="32" t="n">
        <x:v>38424</x:v>
      </x:c>
      <x:c r="K27" s="32" t="n">
        <x:v>45670</x:v>
      </x:c>
      <x:c r="L27" t="str">
        <x:v>INATIVO</x:v>
      </x:c>
    </x:row>
    <x:row r="28">
      <x:c r="A28" s="34" t="n">
        <x:v>27</x:v>
      </x:c>
      <x:c r="B28" t="str">
        <x:v>Rodrigo</x:v>
      </x:c>
      <x:c r="C28" t="str">
        <x:v>Almeida</x:v>
      </x:c>
      <x:c r="D28" t="str">
        <x:v>Rodrigo Almeida</x:v>
      </x:c>
      <x:c r="E28" t="str">
        <x:v>rodrigo.almeida27@email.com</x:v>
      </x:c>
      <x:c r="F28" t="str">
        <x:v>17920776478</x:v>
      </x:c>
      <x:c r="G28" t="str">
        <x:v>SP</x:v>
      </x:c>
      <x:c r="H28" t="str">
        <x:v>Ribeirão Preto</x:v>
      </x:c>
      <x:c r="I28" s="34" t="n">
        <x:v>64</x:v>
      </x:c>
      <x:c r="J28" s="32" t="n">
        <x:v>22911</x:v>
      </x:c>
      <x:c r="K28" s="32" t="n">
        <x:v>46007</x:v>
      </x:c>
      <x:c r="L28" t="str">
        <x:v>ATIVO</x:v>
      </x:c>
    </x:row>
    <x:row r="29">
      <x:c r="A29" s="34" t="n">
        <x:v>28</x:v>
      </x:c>
      <x:c r="B29" t="str">
        <x:v>Gabriela</x:v>
      </x:c>
      <x:c r="C29" t="str">
        <x:v>Silva</x:v>
      </x:c>
      <x:c r="D29" t="str">
        <x:v>Gabriela Silva</x:v>
      </x:c>
      <x:c r="E29" t="str">
        <x:v>gabriela.silva28@email.com</x:v>
      </x:c>
      <x:c r="F29" t="str">
        <x:v>17978406989</x:v>
      </x:c>
      <x:c r="G29" t="str">
        <x:v>MG</x:v>
      </x:c>
      <x:c r="H29" t="str">
        <x:v>Belo Horizonte</x:v>
      </x:c>
      <x:c r="I29" s="34" t="n">
        <x:v>21</x:v>
      </x:c>
      <x:c r="J29" s="32" t="n">
        <x:v>38697</x:v>
      </x:c>
      <x:c r="K29" s="32" t="n">
        <x:v>45659</x:v>
      </x:c>
      <x:c r="L29" t="str">
        <x:v>ATIVO</x:v>
      </x:c>
    </x:row>
    <x:row r="30">
      <x:c r="A30" s="34" t="n">
        <x:v>29</x:v>
      </x:c>
      <x:c r="B30" t="str">
        <x:v>Thiago</x:v>
      </x:c>
      <x:c r="C30" t="str">
        <x:v>Carvalho</x:v>
      </x:c>
      <x:c r="D30" t="str">
        <x:v>Thiago Carvalho</x:v>
      </x:c>
      <x:c r="E30" t="str">
        <x:v>thiago.carvalho29@email.com</x:v>
      </x:c>
      <x:c r="F30" t="str">
        <x:v>17979864260</x:v>
      </x:c>
      <x:c r="G30" t="str">
        <x:v>SP</x:v>
      </x:c>
      <x:c r="H30" t="str">
        <x:v>São José do Rio Preto</x:v>
      </x:c>
      <x:c r="I30" s="34" t="n">
        <x:v>50</x:v>
      </x:c>
      <x:c r="J30" s="32" t="n">
        <x:v>27818</x:v>
      </x:c>
      <x:c r="K30" s="32" t="n">
        <x:v>45719</x:v>
      </x:c>
      <x:c r="L30" t="str">
        <x:v>ATIVO</x:v>
      </x:c>
    </x:row>
    <x:row r="31">
      <x:c r="A31" s="34" t="n">
        <x:v>30</x:v>
      </x:c>
      <x:c r="B31" t="str">
        <x:v>Renan</x:v>
      </x:c>
      <x:c r="C31" t="str">
        <x:v>Souza</x:v>
      </x:c>
      <x:c r="D31" t="str">
        <x:v>Renan Souza</x:v>
      </x:c>
      <x:c r="E31" t="str">
        <x:v>renan.souza30@email.com</x:v>
      </x:c>
      <x:c r="F31" t="str">
        <x:v>17911003626</x:v>
      </x:c>
      <x:c r="G31" t="str">
        <x:v>SP</x:v>
      </x:c>
      <x:c r="H31" t="str">
        <x:v>São Paulo</x:v>
      </x:c>
      <x:c r="I31" s="34" t="n">
        <x:v>33</x:v>
      </x:c>
      <x:c r="J31" s="32" t="n">
        <x:v>34262</x:v>
      </x:c>
      <x:c r="K31" s="32" t="n">
        <x:v>45677</x:v>
      </x:c>
      <x:c r="L31" t="str">
        <x:v>ATIVO</x:v>
      </x:c>
    </x:row>
    <x:row r="32">
      <x:c r="A32" s="34" t="n">
        <x:v>31</x:v>
      </x:c>
      <x:c r="B32" t="str">
        <x:v>Tatiane</x:v>
      </x:c>
      <x:c r="C32" t="str">
        <x:v>Lima</x:v>
      </x:c>
      <x:c r="D32" t="str">
        <x:v>Tatiane Lima</x:v>
      </x:c>
      <x:c r="E32" t="str">
        <x:v>tatiane.lima31@email.com</x:v>
      </x:c>
      <x:c r="F32" t="str">
        <x:v>17935650176</x:v>
      </x:c>
      <x:c r="G32" t="str">
        <x:v>SP</x:v>
      </x:c>
      <x:c r="H32" t="str">
        <x:v>Mirassol</x:v>
      </x:c>
      <x:c r="I32" s="34" t="n">
        <x:v>31</x:v>
      </x:c>
      <x:c r="J32" s="32" t="n">
        <x:v>35026</x:v>
      </x:c>
      <x:c r="K32" s="32" t="n">
        <x:v>45816</x:v>
      </x:c>
      <x:c r="L32" t="str">
        <x:v>ATIVO</x:v>
      </x:c>
    </x:row>
    <x:row r="33">
      <x:c r="A33" s="34" t="n">
        <x:v>32</x:v>
      </x:c>
      <x:c r="B33" t="str">
        <x:v>Caio</x:v>
      </x:c>
      <x:c r="C33" t="str">
        <x:v>Gomes</x:v>
      </x:c>
      <x:c r="D33" t="str">
        <x:v>Caio Gomes</x:v>
      </x:c>
      <x:c r="E33" t="str">
        <x:v>caio.gomes32@email.com</x:v>
      </x:c>
      <x:c r="F33" t="str">
        <x:v>17913419256</x:v>
      </x:c>
      <x:c r="G33" t="str">
        <x:v>SP</x:v>
      </x:c>
      <x:c r="H33" t="str">
        <x:v>Mirassol</x:v>
      </x:c>
      <x:c r="I33" s="34" t="n">
        <x:v>22</x:v>
      </x:c>
      <x:c r="J33" s="32" t="n">
        <x:v>38001</x:v>
      </x:c>
      <x:c r="K33" s="32" t="n">
        <x:v>45949</x:v>
      </x:c>
      <x:c r="L33" t="str">
        <x:v>ATIVO</x:v>
      </x:c>
    </x:row>
    <x:row r="34">
      <x:c r="A34" s="34" t="n">
        <x:v>33</x:v>
      </x:c>
      <x:c r="B34" t="str">
        <x:v>Isabela</x:v>
      </x:c>
      <x:c r="C34" t="str">
        <x:v>Oliveira</x:v>
      </x:c>
      <x:c r="D34" t="str">
        <x:v>Isabela Oliveira</x:v>
      </x:c>
      <x:c r="E34" t="str">
        <x:v>isabela.oliveira33@email.com</x:v>
      </x:c>
      <x:c r="F34" t="str">
        <x:v>17972909480</x:v>
      </x:c>
      <x:c r="G34" t="str">
        <x:v>BA</x:v>
      </x:c>
      <x:c r="H34" t="str">
        <x:v>Salvador</x:v>
      </x:c>
      <x:c r="I34" s="34" t="n">
        <x:v>33</x:v>
      </x:c>
      <x:c r="J34" s="32" t="n">
        <x:v>34130</x:v>
      </x:c>
      <x:c r="K34" s="32" t="n">
        <x:v>45731</x:v>
      </x:c>
      <x:c r="L34" t="str">
        <x:v>ATIVO</x:v>
      </x:c>
    </x:row>
    <x:row r="35">
      <x:c r="A35" s="34" t="n">
        <x:v>34</x:v>
      </x:c>
      <x:c r="B35" t="str">
        <x:v>Vitor</x:v>
      </x:c>
      <x:c r="C35" t="str">
        <x:v>Martins</x:v>
      </x:c>
      <x:c r="D35" t="str">
        <x:v>Vitor Martins</x:v>
      </x:c>
      <x:c r="E35" t="str">
        <x:v>vitor.martins34@email.com</x:v>
      </x:c>
      <x:c r="F35" t="str">
        <x:v>17918024248</x:v>
      </x:c>
      <x:c r="G35" t="str">
        <x:v>RJ</x:v>
      </x:c>
      <x:c r="H35" t="str">
        <x:v>Rio de Janeiro</x:v>
      </x:c>
      <x:c r="I35" s="34" t="n">
        <x:v>60</x:v>
      </x:c>
      <x:c r="J35" s="32" t="n">
        <x:v>24360</x:v>
      </x:c>
      <x:c r="K35" s="32" t="n">
        <x:v>45965</x:v>
      </x:c>
      <x:c r="L35" t="str">
        <x:v>ATIVO</x:v>
      </x:c>
    </x:row>
    <x:row r="36">
      <x:c r="A36" s="34" t="n">
        <x:v>35</x:v>
      </x:c>
      <x:c r="B36" t="str">
        <x:v>Sofia</x:v>
      </x:c>
      <x:c r="C36" t="str">
        <x:v>Santos</x:v>
      </x:c>
      <x:c r="D36" t="str">
        <x:v>Sofia Santos</x:v>
      </x:c>
      <x:c r="E36" t="str">
        <x:v>sofia.santos35@email.com</x:v>
      </x:c>
      <x:c r="F36" t="str">
        <x:v>17946020613</x:v>
      </x:c>
      <x:c r="G36" t="str">
        <x:v>PR</x:v>
      </x:c>
      <x:c r="H36" t="str">
        <x:v>Londrina</x:v>
      </x:c>
      <x:c r="I36" s="34" t="n">
        <x:v>35</x:v>
      </x:c>
      <x:c r="J36" s="32" t="n">
        <x:v>33378</x:v>
      </x:c>
      <x:c r="K36" s="32" t="n">
        <x:v>45770</x:v>
      </x:c>
      <x:c r="L36" t="str">
        <x:v>ATIVO</x:v>
      </x:c>
    </x:row>
    <x:row r="37">
      <x:c r="A37" s="34" t="n">
        <x:v>36</x:v>
      </x:c>
      <x:c r="B37" t="str">
        <x:v>Yasmin</x:v>
      </x:c>
      <x:c r="C37" t="str">
        <x:v>Carvalho</x:v>
      </x:c>
      <x:c r="D37" t="str">
        <x:v>Yasmin Carvalho</x:v>
      </x:c>
      <x:c r="E37" t="str">
        <x:v>yasmin.carvalho36@email.com</x:v>
      </x:c>
      <x:c r="F37" t="str">
        <x:v>17937135391</x:v>
      </x:c>
      <x:c r="G37" t="str">
        <x:v>SP</x:v>
      </x:c>
      <x:c r="H37" t="str">
        <x:v>Votuporanga</x:v>
      </x:c>
      <x:c r="I37" s="34" t="n">
        <x:v>34</x:v>
      </x:c>
      <x:c r="J37" s="32" t="n">
        <x:v>33606</x:v>
      </x:c>
      <x:c r="K37" s="32" t="n">
        <x:v>45975</x:v>
      </x:c>
      <x:c r="L37" t="str">
        <x:v>ATIVO</x:v>
      </x:c>
    </x:row>
    <x:row r="38">
      <x:c r="A38" s="34" t="n">
        <x:v>37</x:v>
      </x:c>
      <x:c r="B38" t="str">
        <x:v>Karen</x:v>
      </x:c>
      <x:c r="C38" t="str">
        <x:v>Martins</x:v>
      </x:c>
      <x:c r="D38" t="str">
        <x:v>Karen Martins</x:v>
      </x:c>
      <x:c r="E38" t="str">
        <x:v>karen.martins37@email.com</x:v>
      </x:c>
      <x:c r="F38" t="str">
        <x:v>17957403166</x:v>
      </x:c>
      <x:c r="G38" t="str">
        <x:v>SP</x:v>
      </x:c>
      <x:c r="H38" t="str">
        <x:v>Mirassol</x:v>
      </x:c>
      <x:c r="I38" s="34" t="n">
        <x:v>28</x:v>
      </x:c>
      <x:c r="J38" s="32" t="n">
        <x:v>36144</x:v>
      </x:c>
      <x:c r="K38" s="32" t="n">
        <x:v>45923</x:v>
      </x:c>
      <x:c r="L38" t="str">
        <x:v>ATIVO</x:v>
      </x:c>
    </x:row>
    <x:row r="39">
      <x:c r="A39" s="34" t="n">
        <x:v>38</x:v>
      </x:c>
      <x:c r="B39" t="str">
        <x:v>Diego</x:v>
      </x:c>
      <x:c r="C39" t="str">
        <x:v>Santos</x:v>
      </x:c>
      <x:c r="D39" t="str">
        <x:v>Diego Santos</x:v>
      </x:c>
      <x:c r="E39" t="str">
        <x:v>diego.santos38@email.com</x:v>
      </x:c>
      <x:c r="F39" t="str">
        <x:v>17974158663</x:v>
      </x:c>
      <x:c r="G39" t="str">
        <x:v>MS</x:v>
      </x:c>
      <x:c r="H39" t="str">
        <x:v>Campo Grande</x:v>
      </x:c>
      <x:c r="I39" s="34" t="n">
        <x:v>52</x:v>
      </x:c>
      <x:c r="J39" s="32" t="n">
        <x:v>27056</x:v>
      </x:c>
      <x:c r="K39" s="32" t="n">
        <x:v>45827</x:v>
      </x:c>
      <x:c r="L39" t="str">
        <x:v>ATIVO</x:v>
      </x:c>
    </x:row>
    <x:row r="40">
      <x:c r="A40" s="34" t="n">
        <x:v>39</x:v>
      </x:c>
      <x:c r="B40" t="str">
        <x:v>Eduarda</x:v>
      </x:c>
      <x:c r="C40" t="str">
        <x:v>Silva</x:v>
      </x:c>
      <x:c r="D40" t="str">
        <x:v>Eduarda Silva</x:v>
      </x:c>
      <x:c r="E40" t="str">
        <x:v>eduarda.silva39@email.com</x:v>
      </x:c>
      <x:c r="F40" t="str">
        <x:v>17913796726</x:v>
      </x:c>
      <x:c r="G40" t="str">
        <x:v>SP</x:v>
      </x:c>
      <x:c r="H40" t="str">
        <x:v>São José do Rio Preto</x:v>
      </x:c>
      <x:c r="I40" s="34" t="n">
        <x:v>40</x:v>
      </x:c>
      <x:c r="J40" s="32" t="n">
        <x:v>31524</x:v>
      </x:c>
      <x:c r="K40" s="32" t="n">
        <x:v>45769</x:v>
      </x:c>
      <x:c r="L40" t="str">
        <x:v>ATIVO</x:v>
      </x:c>
    </x:row>
    <x:row r="41">
      <x:c r="A41" s="34" t="n">
        <x:v>40</x:v>
      </x:c>
      <x:c r="B41" t="str">
        <x:v>Samuel</x:v>
      </x:c>
      <x:c r="C41" t="str">
        <x:v>Araujo</x:v>
      </x:c>
      <x:c r="D41" t="str">
        <x:v>Samuel Araujo</x:v>
      </x:c>
      <x:c r="E41" t="str">
        <x:v>samuel.araujo40@email.com</x:v>
      </x:c>
      <x:c r="F41" t="str">
        <x:v>17903326769</x:v>
      </x:c>
      <x:c r="G41" t="str">
        <x:v>GO</x:v>
      </x:c>
      <x:c r="H41" t="str">
        <x:v>Goiânia</x:v>
      </x:c>
      <x:c r="I41" s="34" t="n">
        <x:v>33</x:v>
      </x:c>
      <x:c r="J41" s="32" t="n">
        <x:v>34054</x:v>
      </x:c>
      <x:c r="K41" s="32" t="n">
        <x:v>45730</x:v>
      </x:c>
      <x:c r="L41" t="str">
        <x:v>ATIVO</x:v>
      </x:c>
    </x:row>
    <x:row r="42">
      <x:c r="A42" s="34" t="n">
        <x:v>41</x:v>
      </x:c>
      <x:c r="B42" t="str">
        <x:v>Thiago</x:v>
      </x:c>
      <x:c r="C42" t="str">
        <x:v>Costa</x:v>
      </x:c>
      <x:c r="D42" t="str">
        <x:v>Thiago Costa</x:v>
      </x:c>
      <x:c r="E42" t="str">
        <x:v>thiago.costa41@email.com</x:v>
      </x:c>
      <x:c r="F42" t="str">
        <x:v>17921367172</x:v>
      </x:c>
      <x:c r="G42" t="str">
        <x:v>SC</x:v>
      </x:c>
      <x:c r="H42" t="str">
        <x:v>Florianópolis</x:v>
      </x:c>
      <x:c r="I42" s="34" t="n">
        <x:v>60</x:v>
      </x:c>
      <x:c r="J42" s="32" t="n">
        <x:v>24467</x:v>
      </x:c>
      <x:c r="K42" s="32" t="n">
        <x:v>45756</x:v>
      </x:c>
      <x:c r="L42" t="str">
        <x:v>ATIVO</x:v>
      </x:c>
    </x:row>
    <x:row r="43">
      <x:c r="A43" s="34" t="n">
        <x:v>42</x:v>
      </x:c>
      <x:c r="B43" t="str">
        <x:v>Diego</x:v>
      </x:c>
      <x:c r="C43" t="str">
        <x:v>Rodrigues</x:v>
      </x:c>
      <x:c r="D43" t="str">
        <x:v>Diego Rodrigues</x:v>
      </x:c>
      <x:c r="E43" t="str">
        <x:v>diego.rodrigues42@email.com</x:v>
      </x:c>
      <x:c r="F43" t="str">
        <x:v>17940962024</x:v>
      </x:c>
      <x:c r="G43" t="str">
        <x:v>GO</x:v>
      </x:c>
      <x:c r="H43" t="str">
        <x:v>Anápolis</x:v>
      </x:c>
      <x:c r="I43" s="34" t="n">
        <x:v>32</x:v>
      </x:c>
      <x:c r="J43" s="32" t="n">
        <x:v>34451</x:v>
      </x:c>
      <x:c r="K43" s="32" t="n">
        <x:v>45881</x:v>
      </x:c>
      <x:c r="L43" t="str">
        <x:v>ATIVO</x:v>
      </x:c>
    </x:row>
    <x:row r="44">
      <x:c r="A44" s="34" t="n">
        <x:v>43</x:v>
      </x:c>
      <x:c r="B44" t="str">
        <x:v>Caio</x:v>
      </x:c>
      <x:c r="C44" t="str">
        <x:v>Souza</x:v>
      </x:c>
      <x:c r="D44" t="str">
        <x:v>Caio Souza</x:v>
      </x:c>
      <x:c r="E44" t="str">
        <x:v>caio.souza43@email.com</x:v>
      </x:c>
      <x:c r="F44" t="str">
        <x:v>17953643924</x:v>
      </x:c>
      <x:c r="G44" t="str">
        <x:v>SP</x:v>
      </x:c>
      <x:c r="H44" t="str">
        <x:v>Mirassol</x:v>
      </x:c>
      <x:c r="I44" s="34" t="n">
        <x:v>22</x:v>
      </x:c>
      <x:c r="J44" s="32" t="n">
        <x:v>38119</x:v>
      </x:c>
      <x:c r="K44" s="32" t="n">
        <x:v>45978</x:v>
      </x:c>
      <x:c r="L44" t="str">
        <x:v>ATIVO</x:v>
      </x:c>
    </x:row>
    <x:row r="45">
      <x:c r="A45" s="34" t="n">
        <x:v>44</x:v>
      </x:c>
      <x:c r="B45" t="str">
        <x:v>Larissa</x:v>
      </x:c>
      <x:c r="C45" t="str">
        <x:v>Nascimento</x:v>
      </x:c>
      <x:c r="D45" t="str">
        <x:v>Larissa Nascimento</x:v>
      </x:c>
      <x:c r="E45" t="str">
        <x:v>larissa.nascimento44@email.com</x:v>
      </x:c>
      <x:c r="F45" t="str">
        <x:v>17905134794</x:v>
      </x:c>
      <x:c r="G45" t="str">
        <x:v>SP</x:v>
      </x:c>
      <x:c r="H45" t="str">
        <x:v>São José do Rio Preto</x:v>
      </x:c>
      <x:c r="I45" s="34" t="n">
        <x:v>25</x:v>
      </x:c>
      <x:c r="J45" s="32" t="n">
        <x:v>37017</x:v>
      </x:c>
      <x:c r="K45" s="32" t="n">
        <x:v>45939</x:v>
      </x:c>
      <x:c r="L45" t="str">
        <x:v>ATIVO</x:v>
      </x:c>
    </x:row>
    <x:row r="46">
      <x:c r="A46" s="34" t="n">
        <x:v>45</x:v>
      </x:c>
      <x:c r="B46" t="str">
        <x:v>Nicolas</x:v>
      </x:c>
      <x:c r="C46" t="str">
        <x:v>Costa</x:v>
      </x:c>
      <x:c r="D46" t="str">
        <x:v>Nicolas Costa</x:v>
      </x:c>
      <x:c r="E46" t="str">
        <x:v>nicolas.costa45@email.com</x:v>
      </x:c>
      <x:c r="F46" t="str">
        <x:v>17977388337</x:v>
      </x:c>
      <x:c r="G46" t="str">
        <x:v>PR</x:v>
      </x:c>
      <x:c r="H46" t="str">
        <x:v>Maringá</x:v>
      </x:c>
      <x:c r="I46" s="34" t="n">
        <x:v>45</x:v>
      </x:c>
      <x:c r="J46" s="32" t="n">
        <x:v>29876</x:v>
      </x:c>
      <x:c r="K46" s="32" t="n">
        <x:v>45701</x:v>
      </x:c>
      <x:c r="L46" t="str">
        <x:v>ATIVO</x:v>
      </x:c>
    </x:row>
    <x:row r="47">
      <x:c r="A47" s="34" t="n">
        <x:v>46</x:v>
      </x:c>
      <x:c r="B47" t="str">
        <x:v>Bruno</x:v>
      </x:c>
      <x:c r="C47" t="str">
        <x:v>Ribeiro</x:v>
      </x:c>
      <x:c r="D47" t="str">
        <x:v>Bruno Ribeiro</x:v>
      </x:c>
      <x:c r="E47" t="str">
        <x:v>bruno.ribeiro46@email.com</x:v>
      </x:c>
      <x:c r="F47" t="str">
        <x:v>17990010234</x:v>
      </x:c>
      <x:c r="G47" t="str">
        <x:v>SP</x:v>
      </x:c>
      <x:c r="H47" t="str">
        <x:v>São Paulo</x:v>
      </x:c>
      <x:c r="I47" s="34" t="n">
        <x:v>52</x:v>
      </x:c>
      <x:c r="J47" s="32" t="n">
        <x:v>27357</x:v>
      </x:c>
      <x:c r="K47" s="32" t="n">
        <x:v>46015</x:v>
      </x:c>
      <x:c r="L47" t="str">
        <x:v>ATIVO</x:v>
      </x:c>
    </x:row>
    <x:row r="48">
      <x:c r="A48" s="34" t="n">
        <x:v>47</x:v>
      </x:c>
      <x:c r="B48" t="str">
        <x:v>Nicolas</x:v>
      </x:c>
      <x:c r="C48" t="str">
        <x:v>Santos</x:v>
      </x:c>
      <x:c r="D48" t="str">
        <x:v>Nicolas Santos</x:v>
      </x:c>
      <x:c r="E48" t="str">
        <x:v>nicolas.santos47@email.com</x:v>
      </x:c>
      <x:c r="F48" t="str">
        <x:v>17940308572</x:v>
      </x:c>
      <x:c r="G48" t="str">
        <x:v>MS</x:v>
      </x:c>
      <x:c r="H48" t="str">
        <x:v>Três Lagoas</x:v>
      </x:c>
      <x:c r="I48" s="34" t="n">
        <x:v>57</x:v>
      </x:c>
      <x:c r="J48" s="32" t="n">
        <x:v>25376</x:v>
      </x:c>
      <x:c r="K48" s="32" t="n">
        <x:v>45712</x:v>
      </x:c>
      <x:c r="L48" t="str">
        <x:v>ATIVO</x:v>
      </x:c>
    </x:row>
    <x:row r="49">
      <x:c r="A49" s="34" t="n">
        <x:v>48</x:v>
      </x:c>
      <x:c r="B49" t="str">
        <x:v>Caio</x:v>
      </x:c>
      <x:c r="C49" t="str">
        <x:v>Rodrigues</x:v>
      </x:c>
      <x:c r="D49" t="str">
        <x:v>Caio Rodrigues</x:v>
      </x:c>
      <x:c r="E49" t="str">
        <x:v>caio.rodrigues48@email.com</x:v>
      </x:c>
      <x:c r="F49" t="str">
        <x:v>17989245317</x:v>
      </x:c>
      <x:c r="G49" t="str">
        <x:v>SP</x:v>
      </x:c>
      <x:c r="H49" t="str">
        <x:v>Ribeirão Preto</x:v>
      </x:c>
      <x:c r="I49" s="34" t="n">
        <x:v>36</x:v>
      </x:c>
      <x:c r="J49" s="32" t="n">
        <x:v>33121</x:v>
      </x:c>
      <x:c r="K49" s="32" t="n">
        <x:v>45761</x:v>
      </x:c>
      <x:c r="L49" t="str">
        <x:v>INATIVO</x:v>
      </x:c>
    </x:row>
    <x:row r="50">
      <x:c r="A50" s="34" t="n">
        <x:v>49</x:v>
      </x:c>
      <x:c r="B50" t="str">
        <x:v>Caio</x:v>
      </x:c>
      <x:c r="C50" t="str">
        <x:v>Ribeiro</x:v>
      </x:c>
      <x:c r="D50" t="str">
        <x:v>Caio Ribeiro</x:v>
      </x:c>
      <x:c r="E50" t="str">
        <x:v>caio.ribeiro49@email.com</x:v>
      </x:c>
      <x:c r="F50" t="str">
        <x:v>17938508907</x:v>
      </x:c>
      <x:c r="G50" t="str">
        <x:v>BA</x:v>
      </x:c>
      <x:c r="H50" t="str">
        <x:v>Feira de Santana</x:v>
      </x:c>
      <x:c r="I50" s="34" t="n">
        <x:v>43</x:v>
      </x:c>
      <x:c r="J50" s="32" t="n">
        <x:v>30586</x:v>
      </x:c>
      <x:c r="K50" s="32" t="n">
        <x:v>45667</x:v>
      </x:c>
      <x:c r="L50" t="str">
        <x:v>ATIVO</x:v>
      </x:c>
    </x:row>
    <x:row r="51">
      <x:c r="A51" s="34" t="n">
        <x:v>50</x:v>
      </x:c>
      <x:c r="B51" t="str">
        <x:v>Rodrigo</x:v>
      </x:c>
      <x:c r="C51" t="str">
        <x:v>Lima</x:v>
      </x:c>
      <x:c r="D51" t="str">
        <x:v>Rodrigo Lima</x:v>
      </x:c>
      <x:c r="E51" t="str">
        <x:v>rodrigo.lima50@email.com</x:v>
      </x:c>
      <x:c r="F51" t="str">
        <x:v>17968608612</x:v>
      </x:c>
      <x:c r="G51" t="str">
        <x:v>MG</x:v>
      </x:c>
      <x:c r="H51" t="str">
        <x:v>Uberlândia</x:v>
      </x:c>
      <x:c r="I51" s="34" t="n">
        <x:v>47</x:v>
      </x:c>
      <x:c r="J51" s="32" t="n">
        <x:v>29082</x:v>
      </x:c>
      <x:c r="K51" s="32" t="n">
        <x:v>45968</x:v>
      </x:c>
      <x:c r="L51" t="str">
        <x:v>ATIVO</x:v>
      </x:c>
    </x:row>
    <x:row r="52">
      <x:c r="A52" s="34" t="n">
        <x:v>51</x:v>
      </x:c>
      <x:c r="B52" t="str">
        <x:v>Sofia</x:v>
      </x:c>
      <x:c r="C52" t="str">
        <x:v>Martins</x:v>
      </x:c>
      <x:c r="D52" t="str">
        <x:v>Sofia Martins</x:v>
      </x:c>
      <x:c r="E52" t="str">
        <x:v>sofia.martins51@email.com</x:v>
      </x:c>
      <x:c r="F52" t="str">
        <x:v>17983115778</x:v>
      </x:c>
      <x:c r="G52" t="str">
        <x:v>PR</x:v>
      </x:c>
      <x:c r="H52" t="str">
        <x:v>Curitiba</x:v>
      </x:c>
      <x:c r="I52" s="34" t="n">
        <x:v>23</x:v>
      </x:c>
      <x:c r="J52" s="32" t="n">
        <x:v>37758</x:v>
      </x:c>
      <x:c r="K52" s="32" t="n">
        <x:v>45982</x:v>
      </x:c>
      <x:c r="L52" t="str">
        <x:v>ATIVO</x:v>
      </x:c>
    </x:row>
    <x:row r="53">
      <x:c r="A53" s="34" t="n">
        <x:v>52</x:v>
      </x:c>
      <x:c r="B53" t="str">
        <x:v>Henrique</x:v>
      </x:c>
      <x:c r="C53" t="str">
        <x:v>Gomes</x:v>
      </x:c>
      <x:c r="D53" t="str">
        <x:v>Henrique Gomes</x:v>
      </x:c>
      <x:c r="E53" t="str">
        <x:v>henrique.gomes52@email.com</x:v>
      </x:c>
      <x:c r="F53" t="str">
        <x:v>17982043803</x:v>
      </x:c>
      <x:c r="G53" t="str">
        <x:v>SP</x:v>
      </x:c>
      <x:c r="H53" t="str">
        <x:v>Catanduva</x:v>
      </x:c>
      <x:c r="I53" s="34" t="n">
        <x:v>27</x:v>
      </x:c>
      <x:c r="J53" s="32" t="n">
        <x:v>36162</x:v>
      </x:c>
      <x:c r="K53" s="32" t="n">
        <x:v>45763</x:v>
      </x:c>
      <x:c r="L53" t="str">
        <x:v>ATIVO</x:v>
      </x:c>
    </x:row>
    <x:row r="54">
      <x:c r="A54" s="34" t="n">
        <x:v>53</x:v>
      </x:c>
      <x:c r="B54" t="str">
        <x:v>Carla</x:v>
      </x:c>
      <x:c r="C54" t="str">
        <x:v>Almeida</x:v>
      </x:c>
      <x:c r="D54" t="str">
        <x:v>Carla Almeida</x:v>
      </x:c>
      <x:c r="E54" t="str">
        <x:v>carla.almeida53@email.com</x:v>
      </x:c>
      <x:c r="F54" t="str">
        <x:v>17966354180</x:v>
      </x:c>
      <x:c r="G54" t="str">
        <x:v>SP</x:v>
      </x:c>
      <x:c r="H54" t="str">
        <x:v>Ribeirão Preto</x:v>
      </x:c>
      <x:c r="I54" s="34" t="n">
        <x:v>54</x:v>
      </x:c>
      <x:c r="J54" s="32" t="n">
        <x:v>26412</x:v>
      </x:c>
      <x:c r="K54" s="32" t="n">
        <x:v>46004</x:v>
      </x:c>
      <x:c r="L54" t="str">
        <x:v>ATIVO</x:v>
      </x:c>
    </x:row>
    <x:row r="55">
      <x:c r="A55" s="34" t="n">
        <x:v>54</x:v>
      </x:c>
      <x:c r="B55" t="str">
        <x:v>Eduarda</x:v>
      </x:c>
      <x:c r="C55" t="str">
        <x:v>Gomes</x:v>
      </x:c>
      <x:c r="D55" t="str">
        <x:v>Eduarda Gomes</x:v>
      </x:c>
      <x:c r="E55" t="str">
        <x:v>eduarda.gomes54@email.com</x:v>
      </x:c>
      <x:c r="F55" t="str">
        <x:v>17962350830</x:v>
      </x:c>
      <x:c r="G55" t="str">
        <x:v>RJ</x:v>
      </x:c>
      <x:c r="H55" t="str">
        <x:v>Rio de Janeiro</x:v>
      </x:c>
      <x:c r="I55" s="34" t="n">
        <x:v>45</x:v>
      </x:c>
      <x:c r="J55" s="32" t="n">
        <x:v>29682</x:v>
      </x:c>
      <x:c r="K55" s="32" t="n">
        <x:v>46008</x:v>
      </x:c>
      <x:c r="L55" t="str">
        <x:v>ATIVO</x:v>
      </x:c>
    </x:row>
    <x:row r="56">
      <x:c r="A56" s="34" t="n">
        <x:v>55</x:v>
      </x:c>
      <x:c r="B56" t="str">
        <x:v>Henrique</x:v>
      </x:c>
      <x:c r="C56" t="str">
        <x:v>Araujo</x:v>
      </x:c>
      <x:c r="D56" t="str">
        <x:v>Henrique Araujo</x:v>
      </x:c>
      <x:c r="E56" t="str">
        <x:v>henrique.araujo55@email.com</x:v>
      </x:c>
      <x:c r="F56" t="str">
        <x:v>17979920257</x:v>
      </x:c>
      <x:c r="G56" t="str">
        <x:v>GO</x:v>
      </x:c>
      <x:c r="H56" t="str">
        <x:v>Anápolis</x:v>
      </x:c>
      <x:c r="I56" s="34" t="n">
        <x:v>26</x:v>
      </x:c>
      <x:c r="J56" s="32" t="n">
        <x:v>36760</x:v>
      </x:c>
      <x:c r="K56" s="32" t="n">
        <x:v>45918</x:v>
      </x:c>
      <x:c r="L56" t="str">
        <x:v>ATIVO</x:v>
      </x:c>
    </x:row>
    <x:row r="57">
      <x:c r="A57" s="34" t="n">
        <x:v>56</x:v>
      </x:c>
      <x:c r="B57" t="str">
        <x:v>Olívia</x:v>
      </x:c>
      <x:c r="C57" t="str">
        <x:v>Lima</x:v>
      </x:c>
      <x:c r="D57" t="str">
        <x:v>Olívia Lima</x:v>
      </x:c>
      <x:c r="E57" t="str">
        <x:v>olívia.lima56@email.com</x:v>
      </x:c>
      <x:c r="F57" t="str">
        <x:v>17963709724</x:v>
      </x:c>
      <x:c r="G57" t="str">
        <x:v>SC</x:v>
      </x:c>
      <x:c r="H57" t="str">
        <x:v>Florianópolis</x:v>
      </x:c>
      <x:c r="I57" s="34" t="n">
        <x:v>53</x:v>
      </x:c>
      <x:c r="J57" s="32" t="n">
        <x:v>26882</x:v>
      </x:c>
      <x:c r="K57" s="32" t="n">
        <x:v>46019</x:v>
      </x:c>
      <x:c r="L57" t="str">
        <x:v>ATIVO</x:v>
      </x:c>
    </x:row>
    <x:row r="58">
      <x:c r="A58" s="34" t="n">
        <x:v>57</x:v>
      </x:c>
      <x:c r="B58" t="str">
        <x:v>Beatriz</x:v>
      </x:c>
      <x:c r="C58" t="str">
        <x:v>Souza</x:v>
      </x:c>
      <x:c r="D58" t="str">
        <x:v>Beatriz Souza</x:v>
      </x:c>
      <x:c r="E58" t="str">
        <x:v>beatriz.souza57@email.com</x:v>
      </x:c>
      <x:c r="F58" t="str">
        <x:v>17959038700</x:v>
      </x:c>
      <x:c r="G58" t="str">
        <x:v>GO</x:v>
      </x:c>
      <x:c r="H58" t="str">
        <x:v>Anápolis</x:v>
      </x:c>
      <x:c r="I58" s="34" t="n">
        <x:v>51</x:v>
      </x:c>
      <x:c r="J58" s="32" t="n">
        <x:v>27627</x:v>
      </x:c>
      <x:c r="K58" s="32" t="n">
        <x:v>45756</x:v>
      </x:c>
      <x:c r="L58" t="str">
        <x:v>ATIVO</x:v>
      </x:c>
    </x:row>
    <x:row r="59">
      <x:c r="A59" s="34" t="n">
        <x:v>58</x:v>
      </x:c>
      <x:c r="B59" t="str">
        <x:v>João</x:v>
      </x:c>
      <x:c r="C59" t="str">
        <x:v>Souza</x:v>
      </x:c>
      <x:c r="D59" t="str">
        <x:v>João Souza</x:v>
      </x:c>
      <x:c r="E59" t="str">
        <x:v>joão.souza58@email.com</x:v>
      </x:c>
      <x:c r="F59" t="str">
        <x:v>17951410126</x:v>
      </x:c>
      <x:c r="G59" t="str">
        <x:v>SP</x:v>
      </x:c>
      <x:c r="H59" t="str">
        <x:v>Mirassol</x:v>
      </x:c>
      <x:c r="I59" s="34" t="n">
        <x:v>52</x:v>
      </x:c>
      <x:c r="J59" s="32" t="n">
        <x:v>27065</x:v>
      </x:c>
      <x:c r="K59" s="32" t="n">
        <x:v>45724</x:v>
      </x:c>
      <x:c r="L59" t="str">
        <x:v>ATIVO</x:v>
      </x:c>
    </x:row>
    <x:row r="60">
      <x:c r="A60" s="34" t="n">
        <x:v>59</x:v>
      </x:c>
      <x:c r="B60" t="str">
        <x:v>Letícia</x:v>
      </x:c>
      <x:c r="C60" t="str">
        <x:v>Souza</x:v>
      </x:c>
      <x:c r="D60" t="str">
        <x:v>Letícia Souza</x:v>
      </x:c>
      <x:c r="E60" t="str">
        <x:v>letícia.souza59@email.com</x:v>
      </x:c>
      <x:c r="F60" t="str">
        <x:v>17927760841</x:v>
      </x:c>
      <x:c r="G60" t="str">
        <x:v>SP</x:v>
      </x:c>
      <x:c r="H60" t="str">
        <x:v>Votuporanga</x:v>
      </x:c>
      <x:c r="I60" s="34" t="n">
        <x:v>39</x:v>
      </x:c>
      <x:c r="J60" s="32" t="n">
        <x:v>32035</x:v>
      </x:c>
      <x:c r="K60" s="32" t="n">
        <x:v>45840</x:v>
      </x:c>
      <x:c r="L60" t="str">
        <x:v>ATIVO</x:v>
      </x:c>
    </x:row>
    <x:row r="61">
      <x:c r="A61" s="34" t="n">
        <x:v>60</x:v>
      </x:c>
      <x:c r="B61" t="str">
        <x:v>Mariana</x:v>
      </x:c>
      <x:c r="C61" t="str">
        <x:v>Araujo</x:v>
      </x:c>
      <x:c r="D61" t="str">
        <x:v>Mariana Araujo</x:v>
      </x:c>
      <x:c r="E61" t="str">
        <x:v>mariana.araujo60@email.com</x:v>
      </x:c>
      <x:c r="F61" t="str">
        <x:v>17947212267</x:v>
      </x:c>
      <x:c r="G61" t="str">
        <x:v>PR</x:v>
      </x:c>
      <x:c r="H61" t="str">
        <x:v>Curitiba</x:v>
      </x:c>
      <x:c r="I61" s="34" t="n">
        <x:v>19</x:v>
      </x:c>
      <x:c r="J61" s="32" t="n">
        <x:v>39368</x:v>
      </x:c>
      <x:c r="K61" s="32" t="n">
        <x:v>45870</x:v>
      </x:c>
      <x:c r="L61" t="str">
        <x:v>ATIVO</x:v>
      </x:c>
    </x:row>
  </x:sheetData>
  <x:pageMargins left="0.7" right="0.7" top="0.75" bottom="0.75" header="0.3" footer="0.3"/>
  <x:tableParts count="1">
    <x:tablePart xmlns:r="http://schemas.openxmlformats.org/officeDocument/2006/relationships" r:id="Rc425c5b7fcc54b73"/>
  </x:tableParts>
</x:worksheet>
</file>

<file path=xl/worksheets/sheet3.xml><?xml version="1.0" encoding="utf-8"?>
<x:worksheet xmlns:x="http://schemas.openxmlformats.org/spreadsheetml/2006/main">
  <x:sheetFormatPr defaultRowHeight="15"/>
  <x:cols>
    <x:col min="2" max="2" width="18.709999084472656" hidden="0" customWidth="1"/>
    <x:col min="4" max="4" width="31.760000228881836" hidden="0" customWidth="1"/>
    <x:col min="7" max="7" width="34.59000015258789" hidden="0" customWidth="1"/>
    <x:col min="1" max="1" width="14.130000114440918" hidden="0" customWidth="1"/>
    <x:col min="3" max="3" width="10.359999656677246" hidden="0" customWidth="1"/>
    <x:col min="5" max="5" width="9.960000038146973" hidden="0" customWidth="1"/>
    <x:col min="6" max="6" width="6.730000019073486" hidden="0" customWidth="1"/>
  </x:cols>
  <x:sheetData>
    <x:row r="1">
      <x:c r="A1" s="26" t="str">
        <x:v>fornecedor_id</x:v>
      </x:c>
      <x:c r="B1" s="26" t="str">
        <x:v>fornecedor</x:v>
      </x:c>
      <x:c r="C1" s="26" t="str">
        <x:v>cnpj</x:v>
      </x:c>
      <x:c r="D1" s="26" t="str">
        <x:v>email</x:v>
      </x:c>
      <x:c r="E1" s="26" t="str">
        <x:v>telefone</x:v>
      </x:c>
      <x:c r="F1" s="26" t="str">
        <x:v>ativo</x:v>
      </x:c>
      <x:c r="G1" s="26" t="str">
        <x:v>descricao</x:v>
      </x:c>
    </x:row>
    <x:row r="2">
      <x:c r="A2" s="34" t="n">
        <x:v>1</x:v>
      </x:c>
      <x:c r="B2" t="str">
        <x:v>TechDistribuidora Brasil</x:v>
      </x:c>
      <x:c r="C2" t="str">
        <x:v>11222333000101</x:v>
      </x:c>
      <x:c r="D2" t="str">
        <x:v>vendas@techdistribuidora.com.br</x:v>
      </x:c>
      <x:c r="E2" t="str">
        <x:v>1732211001</x:v>
      </x:c>
      <x:c r="F2" s="34" t="n">
        <x:v>1</x:v>
      </x:c>
      <x:c r="G2" t="str">
        <x:v>Distribuidora de periféricos e componentes</x:v>
      </x:c>
    </x:row>
    <x:row r="3">
      <x:c r="A3" s="34" t="n">
        <x:v>2</x:v>
      </x:c>
      <x:c r="B3" t="str">
        <x:v>Mega Componentes</x:v>
      </x:c>
      <x:c r="C3" t="str">
        <x:v>22444555000102</x:v>
      </x:c>
      <x:c r="D3" t="str">
        <x:v>comercial@megacomponentes.com.br</x:v>
      </x:c>
      <x:c r="E3" t="str">
        <x:v>1732211002</x:v>
      </x:c>
      <x:c r="F3" s="34" t="n">
        <x:v>1</x:v>
      </x:c>
      <x:c r="G3" t="str">
        <x:v>Componentes para computadores</x:v>
      </x:c>
    </x:row>
    <x:row r="4">
      <x:c r="A4" s="34" t="n">
        <x:v>3</x:v>
      </x:c>
      <x:c r="B4" t="str">
        <x:v>Prime Eletrônicos</x:v>
      </x:c>
      <x:c r="C4" t="str">
        <x:v>33666777000103</x:v>
      </x:c>
      <x:c r="D4" t="str">
        <x:v>atendimento@primeeletronicos.com.br</x:v>
      </x:c>
      <x:c r="E4" t="str">
        <x:v>1732211003</x:v>
      </x:c>
      <x:c r="F4" s="34" t="n">
        <x:v>1</x:v>
      </x:c>
      <x:c r="G4" t="str">
        <x:v>Eletrônicos e acessórios</x:v>
      </x:c>
    </x:row>
    <x:row r="5">
      <x:c r="A5" s="34" t="n">
        <x:v>4</x:v>
      </x:c>
      <x:c r="B5" t="str">
        <x:v>InfoMax Atacado</x:v>
      </x:c>
      <x:c r="C5" t="str">
        <x:v>44888999000104</x:v>
      </x:c>
      <x:c r="D5" t="str">
        <x:v>pedidos@infomaxatacado.com.br</x:v>
      </x:c>
      <x:c r="E5" t="str">
        <x:v>1732211004</x:v>
      </x:c>
      <x:c r="F5" s="34" t="n">
        <x:v>1</x:v>
      </x:c>
      <x:c r="G5" t="str">
        <x:v>Atacado de informática</x:v>
      </x:c>
    </x:row>
    <x:row r="6">
      <x:c r="A6" s="34" t="n">
        <x:v>5</x:v>
      </x:c>
      <x:c r="B6" t="str">
        <x:v>FastHardware</x:v>
      </x:c>
      <x:c r="C6" t="str">
        <x:v>55000111000105</x:v>
      </x:c>
      <x:c r="D6" t="str">
        <x:v>vendas@fasthardware.com.br</x:v>
      </x:c>
      <x:c r="E6" t="str">
        <x:v>1732211005</x:v>
      </x:c>
      <x:c r="F6" s="34" t="n">
        <x:v>1</x:v>
      </x:c>
      <x:c r="G6" t="str">
        <x:v>Hardware gamer e profissional</x:v>
      </x:c>
    </x:row>
    <x:row r="7">
      <x:c r="A7" s="34" t="n">
        <x:v>6</x:v>
      </x:c>
      <x:c r="B7" t="str">
        <x:v>Connect Rede</x:v>
      </x:c>
      <x:c r="C7" t="str">
        <x:v>66111222000106</x:v>
      </x:c>
      <x:c r="D7" t="str">
        <x:v>comercial@connectrede.com.br</x:v>
      </x:c>
      <x:c r="E7" t="str">
        <x:v>1732211006</x:v>
      </x:c>
      <x:c r="F7" s="34" t="n">
        <x:v>1</x:v>
      </x:c>
      <x:c r="G7" t="str">
        <x:v>Equipamentos de rede</x:v>
      </x:c>
    </x:row>
    <x:row r="8">
      <x:c r="A8" s="34" t="n">
        <x:v>7</x:v>
      </x:c>
      <x:c r="B8" t="str">
        <x:v>OfficeTech Supply</x:v>
      </x:c>
      <x:c r="C8" t="str">
        <x:v>77222333000107</x:v>
      </x:c>
      <x:c r="D8" t="str">
        <x:v>contato@officetech.com.br</x:v>
      </x:c>
      <x:c r="E8" t="str">
        <x:v>1732211007</x:v>
      </x:c>
      <x:c r="F8" s="34" t="n">
        <x:v>1</x:v>
      </x:c>
      <x:c r="G8" t="str">
        <x:v>Produtos para escritório e home office</x:v>
      </x:c>
    </x:row>
    <x:row r="9">
      <x:c r="A9" s="34" t="n">
        <x:v>8</x:v>
      </x:c>
      <x:c r="B9" t="str">
        <x:v>Brasil Monitores</x:v>
      </x:c>
      <x:c r="C9" t="str">
        <x:v>88333444000108</x:v>
      </x:c>
      <x:c r="D9" t="str">
        <x:v>vendas@brasilmonitores.com.br</x:v>
      </x:c>
      <x:c r="E9" t="str">
        <x:v>1732211008</x:v>
      </x:c>
      <x:c r="F9" s="34" t="n">
        <x:v>1</x:v>
      </x:c>
      <x:c r="G9" t="str">
        <x:v>Monitores e telas</x:v>
      </x:c>
    </x:row>
  </x:sheetData>
  <x:pageMargins left="0.7" right="0.7" top="0.75" bottom="0.75" header="0.3" footer="0.3"/>
  <x:tableParts count="1">
    <x:tablePart xmlns:r="http://schemas.openxmlformats.org/officeDocument/2006/relationships" r:id="Racbecff0a2db478d"/>
  </x:tableParts>
</x:worksheet>
</file>

<file path=xl/worksheets/sheet4.xml><?xml version="1.0" encoding="utf-8"?>
<x:worksheet xmlns:x="http://schemas.openxmlformats.org/spreadsheetml/2006/main">
  <x:sheetFormatPr defaultRowHeight="15"/>
  <x:cols>
    <x:col min="2" max="2" width="25.979999542236328" hidden="0" customWidth="1"/>
    <x:col min="4" max="4" width="40.2400016784668" hidden="0" customWidth="1"/>
    <x:col min="9" max="9" width="18.709999084472656" hidden="0" customWidth="1"/>
    <x:col min="1" max="1" width="11.84000015258789" hidden="0" customWidth="1"/>
    <x:col min="3" max="3" width="13.1899995803833" hidden="0" customWidth="1"/>
    <x:col min="5" max="5" width="13.1899995803833" hidden="0" customWidth="1"/>
    <x:col min="6" max="6" width="14.399999618530273" hidden="0" customWidth="1"/>
    <x:col min="7" max="7" width="9.149999618530273" hidden="0" customWidth="1"/>
    <x:col min="8" max="8" width="14.130000114440918" hidden="0" customWidth="1"/>
    <x:col min="10" max="10" width="6.730000019073486" hidden="0" customWidth="1"/>
  </x:cols>
  <x:sheetData>
    <x:row r="1">
      <x:c r="A1" s="26" t="str">
        <x:v>produto_id</x:v>
      </x:c>
      <x:c r="B1" s="26" t="str">
        <x:v>produto</x:v>
      </x:c>
      <x:c r="C1" s="26" t="str">
        <x:v>categoria</x:v>
      </x:c>
      <x:c r="D1" s="26" t="str">
        <x:v>descricao</x:v>
      </x:c>
      <x:c r="E1" s="26" t="str">
        <x:v>preco_venda</x:v>
      </x:c>
      <x:c r="F1" s="26" t="str">
        <x:v>custo_unitario</x:v>
      </x:c>
      <x:c r="G1" s="26" t="str">
        <x:v>estoque</x:v>
      </x:c>
      <x:c r="H1" s="26" t="str">
        <x:v>fornecedor_id</x:v>
      </x:c>
      <x:c r="I1" s="26" t="str">
        <x:v>fornecedor</x:v>
      </x:c>
      <x:c r="J1" s="26" t="str">
        <x:v>ativo</x:v>
      </x:c>
    </x:row>
    <x:row r="2">
      <x:c r="A2" s="34" t="n">
        <x:v>1</x:v>
      </x:c>
      <x:c r="B2" t="str">
        <x:v>Mouse Óptico USB</x:v>
      </x:c>
      <x:c r="C2" t="str">
        <x:v>Periféricos</x:v>
      </x:c>
      <x:c r="D2" t="str">
        <x:v>Mouse Óptico USB - linha periféricos</x:v>
      </x:c>
      <x:c r="E2" s="36" t="n">
        <x:v>49.9</x:v>
      </x:c>
      <x:c r="F2" s="36" t="n">
        <x:v>25</x:v>
      </x:c>
      <x:c r="G2" s="34" t="n">
        <x:v>93</x:v>
      </x:c>
      <x:c r="H2" s="34" t="n">
        <x:v>1</x:v>
      </x:c>
      <x:c r="I2" t="str">
        <x:v>TechDistribuidora Brasil</x:v>
      </x:c>
      <x:c r="J2" s="34" t="n">
        <x:v>1</x:v>
      </x:c>
    </x:row>
    <x:row r="3">
      <x:c r="A3" s="34" t="n">
        <x:v>2</x:v>
      </x:c>
      <x:c r="B3" t="str">
        <x:v>Teclado Membrana ABNT2</x:v>
      </x:c>
      <x:c r="C3" t="str">
        <x:v>Periféricos</x:v>
      </x:c>
      <x:c r="D3" t="str">
        <x:v>Teclado Membrana ABNT2 - linha periféricos</x:v>
      </x:c>
      <x:c r="E3" s="36" t="n">
        <x:v>89.9</x:v>
      </x:c>
      <x:c r="F3" s="36" t="n">
        <x:v>48</x:v>
      </x:c>
      <x:c r="G3" s="34" t="n">
        <x:v>26</x:v>
      </x:c>
      <x:c r="H3" s="34" t="n">
        <x:v>1</x:v>
      </x:c>
      <x:c r="I3" t="str">
        <x:v>TechDistribuidora Brasil</x:v>
      </x:c>
      <x:c r="J3" s="34" t="n">
        <x:v>1</x:v>
      </x:c>
    </x:row>
    <x:row r="4">
      <x:c r="A4" s="34" t="n">
        <x:v>3</x:v>
      </x:c>
      <x:c r="B4" t="str">
        <x:v>Headset Gamer P2</x:v>
      </x:c>
      <x:c r="C4" t="str">
        <x:v>Periféricos</x:v>
      </x:c>
      <x:c r="D4" t="str">
        <x:v>Headset Gamer P2 - linha periféricos</x:v>
      </x:c>
      <x:c r="E4" s="36" t="n">
        <x:v>159.9</x:v>
      </x:c>
      <x:c r="F4" s="36" t="n">
        <x:v>84</x:v>
      </x:c>
      <x:c r="G4" s="34" t="n">
        <x:v>15</x:v>
      </x:c>
      <x:c r="H4" s="34" t="n">
        <x:v>5</x:v>
      </x:c>
      <x:c r="I4" t="str">
        <x:v>FastHardware</x:v>
      </x:c>
      <x:c r="J4" s="34" t="n">
        <x:v>1</x:v>
      </x:c>
    </x:row>
    <x:row r="5">
      <x:c r="A5" s="34" t="n">
        <x:v>4</x:v>
      </x:c>
      <x:c r="B5" t="str">
        <x:v>Webcam Full HD</x:v>
      </x:c>
      <x:c r="C5" t="str">
        <x:v>Periféricos</x:v>
      </x:c>
      <x:c r="D5" t="str">
        <x:v>Webcam Full HD - linha periféricos</x:v>
      </x:c>
      <x:c r="E5" s="36" t="n">
        <x:v>199.9</x:v>
      </x:c>
      <x:c r="F5" s="36" t="n">
        <x:v>112</x:v>
      </x:c>
      <x:c r="G5" s="34" t="n">
        <x:v>106</x:v>
      </x:c>
      <x:c r="H5" s="34" t="n">
        <x:v>3</x:v>
      </x:c>
      <x:c r="I5" t="str">
        <x:v>Prime Eletrônicos</x:v>
      </x:c>
      <x:c r="J5" s="34" t="n">
        <x:v>1</x:v>
      </x:c>
    </x:row>
    <x:row r="6">
      <x:c r="A6" s="34" t="n">
        <x:v>5</x:v>
      </x:c>
      <x:c r="B6" t="str">
        <x:v>Mousepad Grande</x:v>
      </x:c>
      <x:c r="C6" t="str">
        <x:v>Acessórios</x:v>
      </x:c>
      <x:c r="D6" t="str">
        <x:v>Mousepad Grande - linha acessórios</x:v>
      </x:c>
      <x:c r="E6" s="36" t="n">
        <x:v>39.9</x:v>
      </x:c>
      <x:c r="F6" s="36" t="n">
        <x:v>17</x:v>
      </x:c>
      <x:c r="G6" s="34" t="n">
        <x:v>47</x:v>
      </x:c>
      <x:c r="H6" s="34" t="n">
        <x:v>3</x:v>
      </x:c>
      <x:c r="I6" t="str">
        <x:v>Prime Eletrônicos</x:v>
      </x:c>
      <x:c r="J6" s="34" t="n">
        <x:v>1</x:v>
      </x:c>
    </x:row>
    <x:row r="7">
      <x:c r="A7" s="34" t="n">
        <x:v>6</x:v>
      </x:c>
      <x:c r="B7" t="str">
        <x:v>Cabo HDMI 2m</x:v>
      </x:c>
      <x:c r="C7" t="str">
        <x:v>Acessórios</x:v>
      </x:c>
      <x:c r="D7" t="str">
        <x:v>Cabo HDMI 2m - linha acessórios</x:v>
      </x:c>
      <x:c r="E7" s="36" t="n">
        <x:v>29.9</x:v>
      </x:c>
      <x:c r="F7" s="36" t="n">
        <x:v>10</x:v>
      </x:c>
      <x:c r="G7" s="34" t="n">
        <x:v>43</x:v>
      </x:c>
      <x:c r="H7" s="34" t="n">
        <x:v>3</x:v>
      </x:c>
      <x:c r="I7" t="str">
        <x:v>Prime Eletrônicos</x:v>
      </x:c>
      <x:c r="J7" s="34" t="n">
        <x:v>1</x:v>
      </x:c>
    </x:row>
    <x:row r="8">
      <x:c r="A8" s="34" t="n">
        <x:v>7</x:v>
      </x:c>
      <x:c r="B8" t="str">
        <x:v>Adaptador USB-C HDMI</x:v>
      </x:c>
      <x:c r="C8" t="str">
        <x:v>Acessórios</x:v>
      </x:c>
      <x:c r="D8" t="str">
        <x:v>Adaptador USB-C HDMI - linha acessórios</x:v>
      </x:c>
      <x:c r="E8" s="36" t="n">
        <x:v>119.9</x:v>
      </x:c>
      <x:c r="F8" s="36" t="n">
        <x:v>58</x:v>
      </x:c>
      <x:c r="G8" s="34" t="n">
        <x:v>40</x:v>
      </x:c>
      <x:c r="H8" s="34" t="n">
        <x:v>3</x:v>
      </x:c>
      <x:c r="I8" t="str">
        <x:v>Prime Eletrônicos</x:v>
      </x:c>
      <x:c r="J8" s="34" t="n">
        <x:v>1</x:v>
      </x:c>
    </x:row>
    <x:row r="9">
      <x:c r="A9" s="34" t="n">
        <x:v>8</x:v>
      </x:c>
      <x:c r="B9" t="str">
        <x:v>Suporte Articulado para Monitor</x:v>
      </x:c>
      <x:c r="C9" t="str">
        <x:v>Acessórios</x:v>
      </x:c>
      <x:c r="D9" t="str">
        <x:v>Suporte Articulado para Monitor - linha acessórios</x:v>
      </x:c>
      <x:c r="E9" s="36" t="n">
        <x:v>149.9</x:v>
      </x:c>
      <x:c r="F9" s="36" t="n">
        <x:v>73</x:v>
      </x:c>
      <x:c r="G9" s="34" t="n">
        <x:v>29</x:v>
      </x:c>
      <x:c r="H9" s="34" t="n">
        <x:v>7</x:v>
      </x:c>
      <x:c r="I9" t="str">
        <x:v>OfficeTech Supply</x:v>
      </x:c>
      <x:c r="J9" s="34" t="n">
        <x:v>1</x:v>
      </x:c>
    </x:row>
    <x:row r="10">
      <x:c r="A10" s="34" t="n">
        <x:v>9</x:v>
      </x:c>
      <x:c r="B10" t="str">
        <x:v>SSD 240GB SATA</x:v>
      </x:c>
      <x:c r="C10" t="str">
        <x:v>Armazenamento</x:v>
      </x:c>
      <x:c r="D10" t="str">
        <x:v>SSD 240GB SATA - linha armazenamento</x:v>
      </x:c>
      <x:c r="E10" s="36" t="n">
        <x:v>169.9</x:v>
      </x:c>
      <x:c r="F10" s="36" t="n">
        <x:v>98</x:v>
      </x:c>
      <x:c r="G10" s="34" t="n">
        <x:v>106</x:v>
      </x:c>
      <x:c r="H10" s="34" t="n">
        <x:v>2</x:v>
      </x:c>
      <x:c r="I10" t="str">
        <x:v>Mega Componentes</x:v>
      </x:c>
      <x:c r="J10" s="34" t="n">
        <x:v>1</x:v>
      </x:c>
    </x:row>
    <x:row r="11">
      <x:c r="A11" s="34" t="n">
        <x:v>10</x:v>
      </x:c>
      <x:c r="B11" t="str">
        <x:v>SSD 480GB SATA</x:v>
      </x:c>
      <x:c r="C11" t="str">
        <x:v>Armazenamento</x:v>
      </x:c>
      <x:c r="D11" t="str">
        <x:v>SSD 480GB SATA - linha armazenamento</x:v>
      </x:c>
      <x:c r="E11" s="36" t="n">
        <x:v>259.9</x:v>
      </x:c>
      <x:c r="F11" s="36" t="n">
        <x:v>158</x:v>
      </x:c>
      <x:c r="G11" s="34" t="n">
        <x:v>25</x:v>
      </x:c>
      <x:c r="H11" s="34" t="n">
        <x:v>2</x:v>
      </x:c>
      <x:c r="I11" t="str">
        <x:v>Mega Componentes</x:v>
      </x:c>
      <x:c r="J11" s="34" t="n">
        <x:v>1</x:v>
      </x:c>
    </x:row>
    <x:row r="12">
      <x:c r="A12" s="34" t="n">
        <x:v>11</x:v>
      </x:c>
      <x:c r="B12" t="str">
        <x:v>SSD NVMe 500GB</x:v>
      </x:c>
      <x:c r="C12" t="str">
        <x:v>Armazenamento</x:v>
      </x:c>
      <x:c r="D12" t="str">
        <x:v>SSD NVMe 500GB - linha armazenamento</x:v>
      </x:c>
      <x:c r="E12" s="36" t="n">
        <x:v>329.9</x:v>
      </x:c>
      <x:c r="F12" s="36" t="n">
        <x:v>205</x:v>
      </x:c>
      <x:c r="G12" s="34" t="n">
        <x:v>98</x:v>
      </x:c>
      <x:c r="H12" s="34" t="n">
        <x:v>5</x:v>
      </x:c>
      <x:c r="I12" t="str">
        <x:v>FastHardware</x:v>
      </x:c>
      <x:c r="J12" s="34" t="n">
        <x:v>1</x:v>
      </x:c>
    </x:row>
    <x:row r="13">
      <x:c r="A13" s="34" t="n">
        <x:v>12</x:v>
      </x:c>
      <x:c r="B13" t="str">
        <x:v>HD Externo 1TB</x:v>
      </x:c>
      <x:c r="C13" t="str">
        <x:v>Armazenamento</x:v>
      </x:c>
      <x:c r="D13" t="str">
        <x:v>HD Externo 1TB - linha armazenamento</x:v>
      </x:c>
      <x:c r="E13" s="36" t="n">
        <x:v>369.9</x:v>
      </x:c>
      <x:c r="F13" s="36" t="n">
        <x:v>246</x:v>
      </x:c>
      <x:c r="G13" s="34" t="n">
        <x:v>106</x:v>
      </x:c>
      <x:c r="H13" s="34" t="n">
        <x:v>4</x:v>
      </x:c>
      <x:c r="I13" t="str">
        <x:v>InfoMax Atacado</x:v>
      </x:c>
      <x:c r="J13" s="34" t="n">
        <x:v>1</x:v>
      </x:c>
    </x:row>
    <x:row r="14">
      <x:c r="A14" s="34" t="n">
        <x:v>13</x:v>
      </x:c>
      <x:c r="B14" t="str">
        <x:v>Memória RAM 8GB DDR4</x:v>
      </x:c>
      <x:c r="C14" t="str">
        <x:v>Componentes</x:v>
      </x:c>
      <x:c r="D14" t="str">
        <x:v>Memória RAM 8GB DDR4 - linha componentes</x:v>
      </x:c>
      <x:c r="E14" s="36" t="n">
        <x:v>179.9</x:v>
      </x:c>
      <x:c r="F14" s="36" t="n">
        <x:v>107</x:v>
      </x:c>
      <x:c r="G14" s="34" t="n">
        <x:v>81</x:v>
      </x:c>
      <x:c r="H14" s="34" t="n">
        <x:v>2</x:v>
      </x:c>
      <x:c r="I14" t="str">
        <x:v>Mega Componentes</x:v>
      </x:c>
      <x:c r="J14" s="34" t="n">
        <x:v>1</x:v>
      </x:c>
    </x:row>
    <x:row r="15">
      <x:c r="A15" s="34" t="n">
        <x:v>14</x:v>
      </x:c>
      <x:c r="B15" t="str">
        <x:v>Memória RAM 16GB DDR4</x:v>
      </x:c>
      <x:c r="C15" t="str">
        <x:v>Componentes</x:v>
      </x:c>
      <x:c r="D15" t="str">
        <x:v>Memória RAM 16GB DDR4 - linha componentes</x:v>
      </x:c>
      <x:c r="E15" s="36" t="n">
        <x:v>319.9</x:v>
      </x:c>
      <x:c r="F15" s="36" t="n">
        <x:v>198</x:v>
      </x:c>
      <x:c r="G15" s="34" t="n">
        <x:v>23</x:v>
      </x:c>
      <x:c r="H15" s="34" t="n">
        <x:v>2</x:v>
      </x:c>
      <x:c r="I15" t="str">
        <x:v>Mega Componentes</x:v>
      </x:c>
      <x:c r="J15" s="34" t="n">
        <x:v>1</x:v>
      </x:c>
    </x:row>
    <x:row r="16">
      <x:c r="A16" s="34" t="n">
        <x:v>15</x:v>
      </x:c>
      <x:c r="B16" t="str">
        <x:v>Fonte 500W 80 Plus</x:v>
      </x:c>
      <x:c r="C16" t="str">
        <x:v>Componentes</x:v>
      </x:c>
      <x:c r="D16" t="str">
        <x:v>Fonte 500W 80 Plus - linha componentes</x:v>
      </x:c>
      <x:c r="E16" s="36" t="n">
        <x:v>289.9</x:v>
      </x:c>
      <x:c r="F16" s="36" t="n">
        <x:v>182</x:v>
      </x:c>
      <x:c r="G16" s="34" t="n">
        <x:v>87</x:v>
      </x:c>
      <x:c r="H16" s="34" t="n">
        <x:v>5</x:v>
      </x:c>
      <x:c r="I16" t="str">
        <x:v>FastHardware</x:v>
      </x:c>
      <x:c r="J16" s="34" t="n">
        <x:v>1</x:v>
      </x:c>
    </x:row>
    <x:row r="17">
      <x:c r="A17" s="34" t="n">
        <x:v>16</x:v>
      </x:c>
      <x:c r="B17" t="str">
        <x:v>Placa de Vídeo GTX 1650</x:v>
      </x:c>
      <x:c r="C17" t="str">
        <x:v>Componentes</x:v>
      </x:c>
      <x:c r="D17" t="str">
        <x:v>Placa de Vídeo GTX 1650 - linha componentes</x:v>
      </x:c>
      <x:c r="E17" s="36" t="n">
        <x:v>949.9</x:v>
      </x:c>
      <x:c r="F17" s="36" t="n">
        <x:v>735</x:v>
      </x:c>
      <x:c r="G17" s="34" t="n">
        <x:v>66</x:v>
      </x:c>
      <x:c r="H17" s="34" t="n">
        <x:v>5</x:v>
      </x:c>
      <x:c r="I17" t="str">
        <x:v>FastHardware</x:v>
      </x:c>
      <x:c r="J17" s="34" t="n">
        <x:v>1</x:v>
      </x:c>
    </x:row>
    <x:row r="18">
      <x:c r="A18" s="34" t="n">
        <x:v>17</x:v>
      </x:c>
      <x:c r="B18" t="str">
        <x:v>Processador Ryzen 5</x:v>
      </x:c>
      <x:c r="C18" t="str">
        <x:v>Componentes</x:v>
      </x:c>
      <x:c r="D18" t="str">
        <x:v>Processador Ryzen 5 - linha componentes</x:v>
      </x:c>
      <x:c r="E18" s="36" t="n">
        <x:v>799.9</x:v>
      </x:c>
      <x:c r="F18" s="36" t="n">
        <x:v>612</x:v>
      </x:c>
      <x:c r="G18" s="34" t="n">
        <x:v>16</x:v>
      </x:c>
      <x:c r="H18" s="34" t="n">
        <x:v>5</x:v>
      </x:c>
      <x:c r="I18" t="str">
        <x:v>FastHardware</x:v>
      </x:c>
      <x:c r="J18" s="34" t="n">
        <x:v>1</x:v>
      </x:c>
    </x:row>
    <x:row r="19">
      <x:c r="A19" s="34" t="n">
        <x:v>18</x:v>
      </x:c>
      <x:c r="B19" t="str">
        <x:v>Cooler para Processador</x:v>
      </x:c>
      <x:c r="C19" t="str">
        <x:v>Componentes</x:v>
      </x:c>
      <x:c r="D19" t="str">
        <x:v>Cooler para Processador - linha componentes</x:v>
      </x:c>
      <x:c r="E19" s="36" t="n">
        <x:v>99.9</x:v>
      </x:c>
      <x:c r="F19" s="36" t="n">
        <x:v>46</x:v>
      </x:c>
      <x:c r="G19" s="34" t="n">
        <x:v>15</x:v>
      </x:c>
      <x:c r="H19" s="34" t="n">
        <x:v>2</x:v>
      </x:c>
      <x:c r="I19" t="str">
        <x:v>Mega Componentes</x:v>
      </x:c>
      <x:c r="J19" s="34" t="n">
        <x:v>1</x:v>
      </x:c>
    </x:row>
    <x:row r="20">
      <x:c r="A20" s="34" t="n">
        <x:v>19</x:v>
      </x:c>
      <x:c r="B20" t="str">
        <x:v>Monitor LED 21.5"</x:v>
      </x:c>
      <x:c r="C20" t="str">
        <x:v>Monitores</x:v>
      </x:c>
      <x:c r="D20" t="str">
        <x:v>Monitor LED 21.5" - linha monitores</x:v>
      </x:c>
      <x:c r="E20" s="36" t="n">
        <x:v>679.9</x:v>
      </x:c>
      <x:c r="F20" s="36" t="n">
        <x:v>495</x:v>
      </x:c>
      <x:c r="G20" s="34" t="n">
        <x:v>23</x:v>
      </x:c>
      <x:c r="H20" s="34" t="n">
        <x:v>8</x:v>
      </x:c>
      <x:c r="I20" t="str">
        <x:v>Brasil Monitores</x:v>
      </x:c>
      <x:c r="J20" s="34" t="n">
        <x:v>1</x:v>
      </x:c>
    </x:row>
    <x:row r="21">
      <x:c r="A21" s="34" t="n">
        <x:v>20</x:v>
      </x:c>
      <x:c r="B21" t="str">
        <x:v>Monitor IPS 24"</x:v>
      </x:c>
      <x:c r="C21" t="str">
        <x:v>Monitores</x:v>
      </x:c>
      <x:c r="D21" t="str">
        <x:v>Monitor IPS 24" - linha monitores</x:v>
      </x:c>
      <x:c r="E21" s="36" t="n">
        <x:v>899.9</x:v>
      </x:c>
      <x:c r="F21" s="36" t="n">
        <x:v>665</x:v>
      </x:c>
      <x:c r="G21" s="34" t="n">
        <x:v>39</x:v>
      </x:c>
      <x:c r="H21" s="34" t="n">
        <x:v>8</x:v>
      </x:c>
      <x:c r="I21" t="str">
        <x:v>Brasil Monitores</x:v>
      </x:c>
      <x:c r="J21" s="34" t="n">
        <x:v>1</x:v>
      </x:c>
    </x:row>
    <x:row r="22">
      <x:c r="A22" s="34" t="n">
        <x:v>21</x:v>
      </x:c>
      <x:c r="B22" t="str">
        <x:v>Monitor Gamer 27"</x:v>
      </x:c>
      <x:c r="C22" t="str">
        <x:v>Monitores</x:v>
      </x:c>
      <x:c r="D22" t="str">
        <x:v>Monitor Gamer 27" - linha monitores</x:v>
      </x:c>
      <x:c r="E22" s="36" t="n">
        <x:v>1599.9</x:v>
      </x:c>
      <x:c r="F22" s="36" t="n">
        <x:v>1190</x:v>
      </x:c>
      <x:c r="G22" s="34" t="n">
        <x:v>41</x:v>
      </x:c>
      <x:c r="H22" s="34" t="n">
        <x:v>8</x:v>
      </x:c>
      <x:c r="I22" t="str">
        <x:v>Brasil Monitores</x:v>
      </x:c>
      <x:c r="J22" s="34" t="n">
        <x:v>1</x:v>
      </x:c>
    </x:row>
    <x:row r="23">
      <x:c r="A23" s="34" t="n">
        <x:v>22</x:v>
      </x:c>
      <x:c r="B23" t="str">
        <x:v>Notebook Intel i3 8GB</x:v>
      </x:c>
      <x:c r="C23" t="str">
        <x:v>Notebooks</x:v>
      </x:c>
      <x:c r="D23" t="str">
        <x:v>Notebook Intel i3 8GB - linha notebooks</x:v>
      </x:c>
      <x:c r="E23" s="36" t="n">
        <x:v>2399.9</x:v>
      </x:c>
      <x:c r="F23" s="36" t="n">
        <x:v>1980</x:v>
      </x:c>
      <x:c r="G23" s="34" t="n">
        <x:v>76</x:v>
      </x:c>
      <x:c r="H23" s="34" t="n">
        <x:v>4</x:v>
      </x:c>
      <x:c r="I23" t="str">
        <x:v>InfoMax Atacado</x:v>
      </x:c>
      <x:c r="J23" s="34" t="n">
        <x:v>1</x:v>
      </x:c>
    </x:row>
    <x:row r="24">
      <x:c r="A24" s="34" t="n">
        <x:v>23</x:v>
      </x:c>
      <x:c r="B24" t="str">
        <x:v>Notebook Intel i5 8GB</x:v>
      </x:c>
      <x:c r="C24" t="str">
        <x:v>Notebooks</x:v>
      </x:c>
      <x:c r="D24" t="str">
        <x:v>Notebook Intel i5 8GB - linha notebooks</x:v>
      </x:c>
      <x:c r="E24" s="36" t="n">
        <x:v>3199.9</x:v>
      </x:c>
      <x:c r="F24" s="36" t="n">
        <x:v>2640</x:v>
      </x:c>
      <x:c r="G24" s="34" t="n">
        <x:v>89</x:v>
      </x:c>
      <x:c r="H24" s="34" t="n">
        <x:v>4</x:v>
      </x:c>
      <x:c r="I24" t="str">
        <x:v>InfoMax Atacado</x:v>
      </x:c>
      <x:c r="J24" s="34" t="n">
        <x:v>1</x:v>
      </x:c>
    </x:row>
    <x:row r="25">
      <x:c r="A25" s="34" t="n">
        <x:v>24</x:v>
      </x:c>
      <x:c r="B25" t="str">
        <x:v>Notebook Ryzen 5 16GB</x:v>
      </x:c>
      <x:c r="C25" t="str">
        <x:v>Notebooks</x:v>
      </x:c>
      <x:c r="D25" t="str">
        <x:v>Notebook Ryzen 5 16GB - linha notebooks</x:v>
      </x:c>
      <x:c r="E25" s="36" t="n">
        <x:v>3799.9</x:v>
      </x:c>
      <x:c r="F25" s="36" t="n">
        <x:v>3140</x:v>
      </x:c>
      <x:c r="G25" s="34" t="n">
        <x:v>15</x:v>
      </x:c>
      <x:c r="H25" s="34" t="n">
        <x:v>4</x:v>
      </x:c>
      <x:c r="I25" t="str">
        <x:v>InfoMax Atacado</x:v>
      </x:c>
      <x:c r="J25" s="34" t="n">
        <x:v>1</x:v>
      </x:c>
    </x:row>
    <x:row r="26">
      <x:c r="A26" s="34" t="n">
        <x:v>25</x:v>
      </x:c>
      <x:c r="B26" t="str">
        <x:v>Roteador Wi-Fi AC1200</x:v>
      </x:c>
      <x:c r="C26" t="str">
        <x:v>Rede</x:v>
      </x:c>
      <x:c r="D26" t="str">
        <x:v>Roteador Wi-Fi AC1200 - linha rede</x:v>
      </x:c>
      <x:c r="E26" s="36" t="n">
        <x:v>249.9</x:v>
      </x:c>
      <x:c r="F26" s="36" t="n">
        <x:v>145</x:v>
      </x:c>
      <x:c r="G26" s="34" t="n">
        <x:v>83</x:v>
      </x:c>
      <x:c r="H26" s="34" t="n">
        <x:v>6</x:v>
      </x:c>
      <x:c r="I26" t="str">
        <x:v>Connect Rede</x:v>
      </x:c>
      <x:c r="J26" s="34" t="n">
        <x:v>1</x:v>
      </x:c>
    </x:row>
    <x:row r="27">
      <x:c r="A27" s="34" t="n">
        <x:v>26</x:v>
      </x:c>
      <x:c r="B27" t="str">
        <x:v>Switch 8 Portas Gigabit</x:v>
      </x:c>
      <x:c r="C27" t="str">
        <x:v>Rede</x:v>
      </x:c>
      <x:c r="D27" t="str">
        <x:v>Switch 8 Portas Gigabit - linha rede</x:v>
      </x:c>
      <x:c r="E27" s="36" t="n">
        <x:v>189.9</x:v>
      </x:c>
      <x:c r="F27" s="36" t="n">
        <x:v>103</x:v>
      </x:c>
      <x:c r="G27" s="34" t="n">
        <x:v>37</x:v>
      </x:c>
      <x:c r="H27" s="34" t="n">
        <x:v>6</x:v>
      </x:c>
      <x:c r="I27" t="str">
        <x:v>Connect Rede</x:v>
      </x:c>
      <x:c r="J27" s="34" t="n">
        <x:v>1</x:v>
      </x:c>
    </x:row>
    <x:row r="28">
      <x:c r="A28" s="34" t="n">
        <x:v>27</x:v>
      </x:c>
      <x:c r="B28" t="str">
        <x:v>Placa de Rede PCIe</x:v>
      </x:c>
      <x:c r="C28" t="str">
        <x:v>Rede</x:v>
      </x:c>
      <x:c r="D28" t="str">
        <x:v>Placa de Rede PCIe - linha rede</x:v>
      </x:c>
      <x:c r="E28" s="36" t="n">
        <x:v>79.9</x:v>
      </x:c>
      <x:c r="F28" s="36" t="n">
        <x:v>37</x:v>
      </x:c>
      <x:c r="G28" s="34" t="n">
        <x:v>103</x:v>
      </x:c>
      <x:c r="H28" s="34" t="n">
        <x:v>6</x:v>
      </x:c>
      <x:c r="I28" t="str">
        <x:v>Connect Rede</x:v>
      </x:c>
      <x:c r="J28" s="34" t="n">
        <x:v>1</x:v>
      </x:c>
    </x:row>
    <x:row r="29">
      <x:c r="A29" s="34" t="n">
        <x:v>28</x:v>
      </x:c>
      <x:c r="B29" t="str">
        <x:v>Repetidor Wi-Fi</x:v>
      </x:c>
      <x:c r="C29" t="str">
        <x:v>Rede</x:v>
      </x:c>
      <x:c r="D29" t="str">
        <x:v>Repetidor Wi-Fi - linha rede</x:v>
      </x:c>
      <x:c r="E29" s="36" t="n">
        <x:v>139.9</x:v>
      </x:c>
      <x:c r="F29" s="36" t="n">
        <x:v>69</x:v>
      </x:c>
      <x:c r="G29" s="34" t="n">
        <x:v>95</x:v>
      </x:c>
      <x:c r="H29" s="34" t="n">
        <x:v>6</x:v>
      </x:c>
      <x:c r="I29" t="str">
        <x:v>Connect Rede</x:v>
      </x:c>
      <x:c r="J29" s="34" t="n">
        <x:v>1</x:v>
      </x:c>
    </x:row>
    <x:row r="30">
      <x:c r="A30" s="34" t="n">
        <x:v>29</x:v>
      </x:c>
      <x:c r="B30" t="str">
        <x:v>Impressora Multifuncional</x:v>
      </x:c>
      <x:c r="C30" t="str">
        <x:v>Office</x:v>
      </x:c>
      <x:c r="D30" t="str">
        <x:v>Impressora Multifuncional - linha office</x:v>
      </x:c>
      <x:c r="E30" s="36" t="n">
        <x:v>699.9</x:v>
      </x:c>
      <x:c r="F30" s="36" t="n">
        <x:v>498</x:v>
      </x:c>
      <x:c r="G30" s="34" t="n">
        <x:v>101</x:v>
      </x:c>
      <x:c r="H30" s="34" t="n">
        <x:v>7</x:v>
      </x:c>
      <x:c r="I30" t="str">
        <x:v>OfficeTech Supply</x:v>
      </x:c>
      <x:c r="J30" s="34" t="n">
        <x:v>1</x:v>
      </x:c>
    </x:row>
    <x:row r="31">
      <x:c r="A31" s="34" t="n">
        <x:v>30</x:v>
      </x:c>
      <x:c r="B31" t="str">
        <x:v>No-break 600VA</x:v>
      </x:c>
      <x:c r="C31" t="str">
        <x:v>Office</x:v>
      </x:c>
      <x:c r="D31" t="str">
        <x:v>No-break 600VA - linha office</x:v>
      </x:c>
      <x:c r="E31" s="36" t="n">
        <x:v>429.9</x:v>
      </x:c>
      <x:c r="F31" s="36" t="n">
        <x:v>298</x:v>
      </x:c>
      <x:c r="G31" s="34" t="n">
        <x:v>81</x:v>
      </x:c>
      <x:c r="H31" s="34" t="n">
        <x:v>7</x:v>
      </x:c>
      <x:c r="I31" t="str">
        <x:v>OfficeTech Supply</x:v>
      </x:c>
      <x:c r="J31" s="3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f67f849d43141fd"/>
  </x:tableParts>
</x:worksheet>
</file>

<file path=xl/worksheets/sheet5.xml><?xml version="1.0" encoding="utf-8"?>
<x:worksheet xmlns:x="http://schemas.openxmlformats.org/spreadsheetml/2006/main">
  <x:sheetFormatPr defaultRowHeight="15"/>
  <x:cols>
    <x:col min="3" max="3" width="16.690000534057617" hidden="0" customWidth="1"/>
    <x:col min="7" max="7" width="17.5" hidden="0" customWidth="1"/>
    <x:col min="12" max="12" width="23.81999969482422" hidden="0" customWidth="1"/>
    <x:col min="1" max="1" width="10.899999618530273" hidden="0" customWidth="1"/>
    <x:col min="2" max="2" width="10.630000114440918" hidden="0" customWidth="1"/>
    <x:col min="4" max="4" width="12.920000076293945" hidden="0" customWidth="1"/>
    <x:col min="5" max="5" width="6.590000152587891" hidden="0" customWidth="1"/>
    <x:col min="6" max="6" width="10.09000015258789" hidden="0" customWidth="1"/>
    <x:col min="8" max="8" width="12.920000076293945" hidden="0" customWidth="1"/>
    <x:col min="9" max="9" width="17.770000457763672" hidden="0" customWidth="1"/>
    <x:col min="10" max="10" width="6.590000152587891" hidden="0" customWidth="1"/>
    <x:col min="11" max="11" width="13.1899995803833" hidden="0" customWidth="1"/>
    <x:col min="13" max="13" width="10.229999542236328" hidden="0" customWidth="1"/>
    <x:col min="14" max="14" width="14.670000076293945" hidden="0" customWidth="1"/>
    <x:col min="15" max="15" width="18.979999542236328" hidden="0" customWidth="1"/>
    <x:col min="16" max="16" width="16.81999969482422" hidden="0" customWidth="1"/>
    <x:col min="17" max="17" width="13.0600004196167" hidden="0" customWidth="1"/>
    <x:col min="18" max="18" width="11.84000015258789" hidden="0" customWidth="1"/>
    <x:col min="19" max="19" width="11.569999694824219" hidden="0" customWidth="1"/>
    <x:col min="20" max="20" width="13.859999656677246" hidden="0" customWidth="1"/>
    <x:col min="21" max="21" width="19.649999618530273" hidden="0" customWidth="1"/>
  </x:cols>
  <x:sheetData>
    <x:row r="1">
      <x:c r="A1" s="26" t="str">
        <x:v>pedido_id</x:v>
      </x:c>
      <x:c r="B1" s="26" t="str">
        <x:v>cliente_id</x:v>
      </x:c>
      <x:c r="C1" s="26" t="str">
        <x:v>cliente</x:v>
      </x:c>
      <x:c r="D1" s="26" t="str">
        <x:v>data_pedido</x:v>
      </x:c>
      <x:c r="E1" s="26" t="str">
        <x:v>mes</x:v>
      </x:c>
      <x:c r="F1" s="26" t="str">
        <x:v>status_id</x:v>
      </x:c>
      <x:c r="G1" s="26" t="str">
        <x:v>status_pedido</x:v>
      </x:c>
      <x:c r="H1" s="26" t="str">
        <x:v>canal_venda</x:v>
      </x:c>
      <x:c r="I1" s="26" t="str">
        <x:v>forma_pagamento</x:v>
      </x:c>
      <x:c r="J1" s="26" t="str">
        <x:v>frete</x:v>
      </x:c>
      <x:c r="K1" s="26" t="str">
        <x:v>dias_entrega</x:v>
      </x:c>
      <x:c r="L1" s="26" t="str">
        <x:v>motivo_cancelamento</x:v>
      </x:c>
      <x:c r="M1" s="26" t="str">
        <x:v>qtd_total</x:v>
      </x:c>
      <x:c r="N1" s="26" t="str">
        <x:v>itens_distintos</x:v>
      </x:c>
      <x:c r="O1" s="26" t="str">
        <x:v>valor_bruto_pedido</x:v>
      </x:c>
      <x:c r="P1" s="26" t="str">
        <x:v>desconto_pedido</x:v>
      </x:c>
      <x:c r="Q1" s="26" t="str">
        <x:v>receita_total</x:v>
      </x:c>
      <x:c r="R1" s="26" t="str">
        <x:v>custo_total</x:v>
      </x:c>
      <x:c r="S1" s="26" t="str">
        <x:v>lucro_total</x:v>
      </x:c>
      <x:c r="T1" s="26" t="str">
        <x:v>ticket_pedido</x:v>
      </x:c>
      <x:c r="U1" s="26" t="str">
        <x:v>margem_pedido_pct</x:v>
      </x:c>
    </x:row>
    <x:row r="2">
      <x:c r="A2" s="34" t="n">
        <x:v>1</x:v>
      </x:c>
      <x:c r="B2" s="34" t="n">
        <x:v>49</x:v>
      </x:c>
      <x:c r="C2" t="str">
        <x:v>Caio Ribeiro</x:v>
      </x:c>
      <x:c r="D2" s="32" t="n">
        <x:v>46066</x:v>
      </x:c>
      <x:c r="E2" t="str">
        <x:v>2026-02</x:v>
      </x:c>
      <x:c r="F2" s="34" t="n">
        <x:v>4</x:v>
      </x:c>
      <x:c r="G2" t="str">
        <x:v>ENTREGUE</x:v>
      </x:c>
      <x:c r="H2" t="str">
        <x:v>Site</x:v>
      </x:c>
      <x:c r="I2" t="str">
        <x:v>Pix</x:v>
      </x:c>
      <x:c r="J2" s="36" t="n">
        <x:v>42.97</x:v>
      </x:c>
      <x:c r="K2" s="34" t="n">
        <x:v>3</x:v>
      </x:c>
      <x:c r="L2" t="str"/>
      <x:c r="M2" s="34" t="n">
        <x:v>2</x:v>
      </x:c>
      <x:c r="N2" s="34" t="n">
        <x:v>1</x:v>
      </x:c>
      <x:c r="O2" s="36" t="n">
        <x:v>79.8</x:v>
      </x:c>
      <x:c r="P2" s="36" t="n">
        <x:v>4</x:v>
      </x:c>
      <x:c r="Q2" s="36" t="n">
        <x:v>75.8</x:v>
      </x:c>
      <x:c r="R2" s="36" t="n">
        <x:v>34</x:v>
      </x:c>
      <x:c r="S2" s="36" t="n">
        <x:v>41.8</x:v>
      </x:c>
      <x:c r="T2" s="36" t="n">
        <x:v>75.8</x:v>
      </x:c>
      <x:c r="U2" s="38" t="n">
        <x:v>0.5515</x:v>
      </x:c>
    </x:row>
    <x:row r="3">
      <x:c r="A3" s="34" t="n">
        <x:v>2</x:v>
      </x:c>
      <x:c r="B3" s="34" t="n">
        <x:v>20</x:v>
      </x:c>
      <x:c r="C3" t="str">
        <x:v>Henrique Silva</x:v>
      </x:c>
      <x:c r="D3" s="32" t="n">
        <x:v>46116</x:v>
      </x:c>
      <x:c r="E3" t="str">
        <x:v>2026-04</x:v>
      </x:c>
      <x:c r="F3" s="34" t="n">
        <x:v>4</x:v>
      </x:c>
      <x:c r="G3" t="str">
        <x:v>ENTREGUE</x:v>
      </x:c>
      <x:c r="H3" t="str">
        <x:v>WhatsApp</x:v>
      </x:c>
      <x:c r="I3" t="str">
        <x:v>Cartão crédito</x:v>
      </x:c>
      <x:c r="J3" s="36" t="n">
        <x:v>50.17</x:v>
      </x:c>
      <x:c r="K3" s="34" t="n">
        <x:v>7</x:v>
      </x:c>
      <x:c r="L3" t="str"/>
      <x:c r="M3" s="34" t="n">
        <x:v>3</x:v>
      </x:c>
      <x:c r="N3" s="34" t="n">
        <x:v>2</x:v>
      </x:c>
      <x:c r="O3" s="36" t="n">
        <x:v>609.7</x:v>
      </x:c>
      <x:c r="P3" s="36" t="n">
        <x:v>22.79</x:v>
      </x:c>
      <x:c r="Q3" s="36" t="n">
        <x:v>586.91</x:v>
      </x:c>
      <x:c r="R3" s="36" t="n">
        <x:v>364</x:v>
      </x:c>
      <x:c r="S3" s="36" t="n">
        <x:v>222.91</x:v>
      </x:c>
      <x:c r="T3" s="36" t="n">
        <x:v>586.91</x:v>
      </x:c>
      <x:c r="U3" s="38" t="n">
        <x:v>0.3798</x:v>
      </x:c>
    </x:row>
    <x:row r="4">
      <x:c r="A4" s="34" t="n">
        <x:v>3</x:v>
      </x:c>
      <x:c r="B4" s="34" t="n">
        <x:v>16</x:v>
      </x:c>
      <x:c r="C4" t="str">
        <x:v>Larissa Martins</x:v>
      </x:c>
      <x:c r="D4" s="32" t="n">
        <x:v>46082</x:v>
      </x:c>
      <x:c r="E4" t="str">
        <x:v>2026-03</x:v>
      </x:c>
      <x:c r="F4" s="34" t="n">
        <x:v>5</x:v>
      </x:c>
      <x:c r="G4" t="str">
        <x:v>CANCELADO</x:v>
      </x:c>
      <x:c r="H4" t="str">
        <x:v>WhatsApp</x:v>
      </x:c>
      <x:c r="I4" t="str">
        <x:v>Pix</x:v>
      </x:c>
      <x:c r="J4" s="36" t="n">
        <x:v>31.84</x:v>
      </x:c>
      <x:c r="K4" s="34"/>
      <x:c r="L4" t="str">
        <x:v>Falta de estoque</x:v>
      </x:c>
      <x:c r="M4" s="34" t="n">
        <x:v>2</x:v>
      </x:c>
      <x:c r="N4" s="34" t="n">
        <x:v>1</x:v>
      </x:c>
      <x:c r="O4" s="36" t="n">
        <x:v>319.8</x:v>
      </x:c>
      <x:c r="P4" s="36" t="n">
        <x:v>0</x:v>
      </x:c>
      <x:c r="Q4" s="36" t="n">
        <x:v>0</x:v>
      </x:c>
      <x:c r="R4" s="36" t="n">
        <x:v>0</x:v>
      </x:c>
      <x:c r="S4" s="36" t="n">
        <x:v>0</x:v>
      </x:c>
      <x:c r="T4" s="36" t="n">
        <x:v>0</x:v>
      </x:c>
      <x:c r="U4" s="38" t="n">
        <x:v>0</x:v>
      </x:c>
    </x:row>
    <x:row r="5">
      <x:c r="A5" s="34" t="n">
        <x:v>4</x:v>
      </x:c>
      <x:c r="B5" s="34" t="n">
        <x:v>33</x:v>
      </x:c>
      <x:c r="C5" t="str">
        <x:v>Isabela Oliveira</x:v>
      </x:c>
      <x:c r="D5" s="32" t="n">
        <x:v>46131</x:v>
      </x:c>
      <x:c r="E5" t="str">
        <x:v>2026-04</x:v>
      </x:c>
      <x:c r="F5" s="34" t="n">
        <x:v>5</x:v>
      </x:c>
      <x:c r="G5" t="str">
        <x:v>CANCELADO</x:v>
      </x:c>
      <x:c r="H5" t="str">
        <x:v>Indicação</x:v>
      </x:c>
      <x:c r="I5" t="str">
        <x:v>Boleto</x:v>
      </x:c>
      <x:c r="J5" s="36" t="n">
        <x:v>24.96</x:v>
      </x:c>
      <x:c r="K5" s="34"/>
      <x:c r="L5" t="str">
        <x:v>Produto indisponível</x:v>
      </x:c>
      <x:c r="M5" s="34" t="n">
        <x:v>1</x:v>
      </x:c>
      <x:c r="N5" s="34" t="n">
        <x:v>1</x:v>
      </x:c>
      <x:c r="O5" s="36" t="n">
        <x:v>49.9</x:v>
      </x:c>
      <x:c r="P5" s="36" t="n">
        <x:v>0</x:v>
      </x:c>
      <x:c r="Q5" s="36" t="n">
        <x:v>0</x:v>
      </x:c>
      <x:c r="R5" s="36" t="n">
        <x:v>0</x:v>
      </x:c>
      <x:c r="S5" s="36" t="n">
        <x:v>0</x:v>
      </x:c>
      <x:c r="T5" s="36" t="n">
        <x:v>0</x:v>
      </x:c>
      <x:c r="U5" s="38" t="n">
        <x:v>0</x:v>
      </x:c>
    </x:row>
    <x:row r="6">
      <x:c r="A6" s="34" t="n">
        <x:v>5</x:v>
      </x:c>
      <x:c r="B6" s="34" t="n">
        <x:v>23</x:v>
      </x:c>
      <x:c r="C6" t="str">
        <x:v>Matheus Silva</x:v>
      </x:c>
      <x:c r="D6" s="32" t="n">
        <x:v>46131</x:v>
      </x:c>
      <x:c r="E6" t="str">
        <x:v>2026-04</x:v>
      </x:c>
      <x:c r="F6" s="34" t="n">
        <x:v>4</x:v>
      </x:c>
      <x:c r="G6" t="str">
        <x:v>ENTREGUE</x:v>
      </x:c>
      <x:c r="H6" t="str">
        <x:v>Marketplace</x:v>
      </x:c>
      <x:c r="I6" t="str">
        <x:v>Pix</x:v>
      </x:c>
      <x:c r="J6" s="36" t="n">
        <x:v>56.95</x:v>
      </x:c>
      <x:c r="K6" s="34" t="n">
        <x:v>1</x:v>
      </x:c>
      <x:c r="L6" t="str"/>
      <x:c r="M6" s="34" t="n">
        <x:v>1</x:v>
      </x:c>
      <x:c r="N6" s="34" t="n">
        <x:v>1</x:v>
      </x:c>
      <x:c r="O6" s="36" t="n">
        <x:v>679.9</x:v>
      </x:c>
      <x:c r="P6" s="36" t="n">
        <x:v>54.39</x:v>
      </x:c>
      <x:c r="Q6" s="36" t="n">
        <x:v>625.51</x:v>
      </x:c>
      <x:c r="R6" s="36" t="n">
        <x:v>495</x:v>
      </x:c>
      <x:c r="S6" s="36" t="n">
        <x:v>130.51</x:v>
      </x:c>
      <x:c r="T6" s="36" t="n">
        <x:v>625.51</x:v>
      </x:c>
      <x:c r="U6" s="38" t="n">
        <x:v>0.2086</x:v>
      </x:c>
    </x:row>
    <x:row r="7">
      <x:c r="A7" s="34" t="n">
        <x:v>6</x:v>
      </x:c>
      <x:c r="B7" s="34" t="n">
        <x:v>21</x:v>
      </x:c>
      <x:c r="C7" t="str">
        <x:v>Henrique Pereira</x:v>
      </x:c>
      <x:c r="D7" s="32" t="n">
        <x:v>46118</x:v>
      </x:c>
      <x:c r="E7" t="str">
        <x:v>2026-04</x:v>
      </x:c>
      <x:c r="F7" s="34" t="n">
        <x:v>4</x:v>
      </x:c>
      <x:c r="G7" t="str">
        <x:v>ENTREGUE</x:v>
      </x:c>
      <x:c r="H7" t="str">
        <x:v>Indicação</x:v>
      </x:c>
      <x:c r="I7" t="str">
        <x:v>Pix</x:v>
      </x:c>
      <x:c r="J7" s="36" t="n">
        <x:v>47.09</x:v>
      </x:c>
      <x:c r="K7" s="34" t="n">
        <x:v>4</x:v>
      </x:c>
      <x:c r="L7" t="str"/>
      <x:c r="M7" s="34" t="n">
        <x:v>3</x:v>
      </x:c>
      <x:c r="N7" s="34" t="n">
        <x:v>2</x:v>
      </x:c>
      <x:c r="O7" s="36" t="n">
        <x:v>1299.7</x:v>
      </x:c>
      <x:c r="P7" s="36" t="n">
        <x:v>63.98</x:v>
      </x:c>
      <x:c r="Q7" s="36" t="n">
        <x:v>1235.72</x:v>
      </x:c>
      <x:c r="R7" s="36" t="n">
        <x:v>902</x:v>
      </x:c>
      <x:c r="S7" s="36" t="n">
        <x:v>333.72</x:v>
      </x:c>
      <x:c r="T7" s="36" t="n">
        <x:v>1235.72</x:v>
      </x:c>
      <x:c r="U7" s="38" t="n">
        <x:v>0.2701</x:v>
      </x:c>
    </x:row>
    <x:row r="8">
      <x:c r="A8" s="34" t="n">
        <x:v>7</x:v>
      </x:c>
      <x:c r="B8" s="34" t="n">
        <x:v>34</x:v>
      </x:c>
      <x:c r="C8" t="str">
        <x:v>Vitor Martins</x:v>
      </x:c>
      <x:c r="D8" s="32" t="n">
        <x:v>46121</x:v>
      </x:c>
      <x:c r="E8" t="str">
        <x:v>2026-04</x:v>
      </x:c>
      <x:c r="F8" s="34" t="n">
        <x:v>4</x:v>
      </x:c>
      <x:c r="G8" t="str">
        <x:v>ENTREGUE</x:v>
      </x:c>
      <x:c r="H8" t="str">
        <x:v>Site</x:v>
      </x:c>
      <x:c r="I8" t="str">
        <x:v>Pix</x:v>
      </x:c>
      <x:c r="J8" s="36" t="n">
        <x:v>22.65</x:v>
      </x:c>
      <x:c r="K8" s="34" t="n">
        <x:v>3</x:v>
      </x:c>
      <x:c r="L8" t="str"/>
      <x:c r="M8" s="34" t="n">
        <x:v>3</x:v>
      </x:c>
      <x:c r="N8" s="34" t="n">
        <x:v>3</x:v>
      </x:c>
      <x:c r="O8" s="36" t="n">
        <x:v>289.7</x:v>
      </x:c>
      <x:c r="P8" s="36" t="n">
        <x:v>24.88</x:v>
      </x:c>
      <x:c r="Q8" s="36" t="n">
        <x:v>264.82</x:v>
      </x:c>
      <x:c r="R8" s="36" t="n">
        <x:v>146</x:v>
      </x:c>
      <x:c r="S8" s="36" t="n">
        <x:v>118.82</x:v>
      </x:c>
      <x:c r="T8" s="36" t="n">
        <x:v>264.82</x:v>
      </x:c>
      <x:c r="U8" s="38" t="n">
        <x:v>0.4487</x:v>
      </x:c>
    </x:row>
    <x:row r="9">
      <x:c r="A9" s="34" t="n">
        <x:v>8</x:v>
      </x:c>
      <x:c r="B9" s="34" t="n">
        <x:v>35</x:v>
      </x:c>
      <x:c r="C9" t="str">
        <x:v>Sofia Santos</x:v>
      </x:c>
      <x:c r="D9" s="32" t="n">
        <x:v>46108</x:v>
      </x:c>
      <x:c r="E9" t="str">
        <x:v>2026-03</x:v>
      </x:c>
      <x:c r="F9" s="34" t="n">
        <x:v>4</x:v>
      </x:c>
      <x:c r="G9" t="str">
        <x:v>ENTREGUE</x:v>
      </x:c>
      <x:c r="H9" t="str">
        <x:v>Marketplace</x:v>
      </x:c>
      <x:c r="I9" t="str">
        <x:v>Cartão crédito</x:v>
      </x:c>
      <x:c r="J9" s="36" t="n">
        <x:v>53.54</x:v>
      </x:c>
      <x:c r="K9" s="34" t="n">
        <x:v>4</x:v>
      </x:c>
      <x:c r="L9" t="str"/>
      <x:c r="M9" s="34" t="n">
        <x:v>1</x:v>
      </x:c>
      <x:c r="N9" s="34" t="n">
        <x:v>1</x:v>
      </x:c>
      <x:c r="O9" s="36" t="n">
        <x:v>49.9</x:v>
      </x:c>
      <x:c r="P9" s="36" t="n">
        <x:v>1.5</x:v>
      </x:c>
      <x:c r="Q9" s="36" t="n">
        <x:v>48.4</x:v>
      </x:c>
      <x:c r="R9" s="36" t="n">
        <x:v>25</x:v>
      </x:c>
      <x:c r="S9" s="36" t="n">
        <x:v>23.4</x:v>
      </x:c>
      <x:c r="T9" s="36" t="n">
        <x:v>48.4</x:v>
      </x:c>
      <x:c r="U9" s="38" t="n">
        <x:v>0.4835</x:v>
      </x:c>
    </x:row>
    <x:row r="10">
      <x:c r="A10" s="34" t="n">
        <x:v>9</x:v>
      </x:c>
      <x:c r="B10" s="34" t="n">
        <x:v>29</x:v>
      </x:c>
      <x:c r="C10" t="str">
        <x:v>Thiago Carvalho</x:v>
      </x:c>
      <x:c r="D10" s="32" t="n">
        <x:v>46086</x:v>
      </x:c>
      <x:c r="E10" t="str">
        <x:v>2026-03</x:v>
      </x:c>
      <x:c r="F10" s="34" t="n">
        <x:v>4</x:v>
      </x:c>
      <x:c r="G10" t="str">
        <x:v>ENTREGUE</x:v>
      </x:c>
      <x:c r="H10" t="str">
        <x:v>Site</x:v>
      </x:c>
      <x:c r="I10" t="str">
        <x:v>Cartão crédito</x:v>
      </x:c>
      <x:c r="J10" s="36" t="n">
        <x:v>43.5</x:v>
      </x:c>
      <x:c r="K10" s="34" t="n">
        <x:v>5</x:v>
      </x:c>
      <x:c r="L10" t="str"/>
      <x:c r="M10" s="34" t="n">
        <x:v>1</x:v>
      </x:c>
      <x:c r="N10" s="34" t="n">
        <x:v>1</x:v>
      </x:c>
      <x:c r="O10" s="36" t="n">
        <x:v>39.9</x:v>
      </x:c>
      <x:c r="P10" s="36" t="n">
        <x:v>0</x:v>
      </x:c>
      <x:c r="Q10" s="36" t="n">
        <x:v>39.9</x:v>
      </x:c>
      <x:c r="R10" s="36" t="n">
        <x:v>17</x:v>
      </x:c>
      <x:c r="S10" s="36" t="n">
        <x:v>22.9</x:v>
      </x:c>
      <x:c r="T10" s="36" t="n">
        <x:v>39.9</x:v>
      </x:c>
      <x:c r="U10" s="38" t="n">
        <x:v>0.5739</x:v>
      </x:c>
    </x:row>
    <x:row r="11">
      <x:c r="A11" s="34" t="n">
        <x:v>10</x:v>
      </x:c>
      <x:c r="B11" s="34" t="n">
        <x:v>12</x:v>
      </x:c>
      <x:c r="C11" t="str">
        <x:v>Renan Silva</x:v>
      </x:c>
      <x:c r="D11" s="32" t="n">
        <x:v>46059</x:v>
      </x:c>
      <x:c r="E11" t="str">
        <x:v>2026-02</x:v>
      </x:c>
      <x:c r="F11" s="34" t="n">
        <x:v>4</x:v>
      </x:c>
      <x:c r="G11" t="str">
        <x:v>ENTREGUE</x:v>
      </x:c>
      <x:c r="H11" t="str">
        <x:v>WhatsApp</x:v>
      </x:c>
      <x:c r="I11" t="str">
        <x:v>Pix</x:v>
      </x:c>
      <x:c r="J11" s="36" t="n">
        <x:v>33.65</x:v>
      </x:c>
      <x:c r="K11" s="34" t="n">
        <x:v>9</x:v>
      </x:c>
      <x:c r="L11" t="str"/>
      <x:c r="M11" s="34" t="n">
        <x:v>1</x:v>
      </x:c>
      <x:c r="N11" s="34" t="n">
        <x:v>1</x:v>
      </x:c>
      <x:c r="O11" s="36" t="n">
        <x:v>89.9</x:v>
      </x:c>
      <x:c r="P11" s="36" t="n">
        <x:v>0</x:v>
      </x:c>
      <x:c r="Q11" s="36" t="n">
        <x:v>89.9</x:v>
      </x:c>
      <x:c r="R11" s="36" t="n">
        <x:v>48</x:v>
      </x:c>
      <x:c r="S11" s="36" t="n">
        <x:v>41.9</x:v>
      </x:c>
      <x:c r="T11" s="36" t="n">
        <x:v>89.9</x:v>
      </x:c>
      <x:c r="U11" s="38" t="n">
        <x:v>0.4661</x:v>
      </x:c>
    </x:row>
    <x:row r="12">
      <x:c r="A12" s="34" t="n">
        <x:v>11</x:v>
      </x:c>
      <x:c r="B12" s="34" t="n">
        <x:v>1</x:v>
      </x:c>
      <x:c r="C12" t="str">
        <x:v>Nicolas Souza</x:v>
      </x:c>
      <x:c r="D12" s="32" t="n">
        <x:v>46125</x:v>
      </x:c>
      <x:c r="E12" t="str">
        <x:v>2026-04</x:v>
      </x:c>
      <x:c r="F12" s="34" t="n">
        <x:v>4</x:v>
      </x:c>
      <x:c r="G12" t="str">
        <x:v>ENTREGUE</x:v>
      </x:c>
      <x:c r="H12" t="str">
        <x:v>Site</x:v>
      </x:c>
      <x:c r="I12" t="str">
        <x:v>Cartão crédito</x:v>
      </x:c>
      <x:c r="J12" s="36" t="n">
        <x:v>51.34</x:v>
      </x:c>
      <x:c r="K12" s="34" t="n">
        <x:v>4</x:v>
      </x:c>
      <x:c r="L12" t="str"/>
      <x:c r="M12" s="34" t="n">
        <x:v>6</x:v>
      </x:c>
      <x:c r="N12" s="34" t="n">
        <x:v>3</x:v>
      </x:c>
      <x:c r="O12" s="36" t="n">
        <x:v>569.4</x:v>
      </x:c>
      <x:c r="P12" s="36" t="n">
        <x:v>17.99</x:v>
      </x:c>
      <x:c r="Q12" s="36" t="n">
        <x:v>551.41</x:v>
      </x:c>
      <x:c r="R12" s="36" t="n">
        <x:v>299</x:v>
      </x:c>
      <x:c r="S12" s="36" t="n">
        <x:v>252.41</x:v>
      </x:c>
      <x:c r="T12" s="36" t="n">
        <x:v>551.41</x:v>
      </x:c>
      <x:c r="U12" s="38" t="n">
        <x:v>0.4578</x:v>
      </x:c>
    </x:row>
    <x:row r="13">
      <x:c r="A13" s="34" t="n">
        <x:v>12</x:v>
      </x:c>
      <x:c r="B13" s="34" t="n">
        <x:v>45</x:v>
      </x:c>
      <x:c r="C13" t="str">
        <x:v>Nicolas Costa</x:v>
      </x:c>
      <x:c r="D13" s="32" t="n">
        <x:v>46178</x:v>
      </x:c>
      <x:c r="E13" t="str">
        <x:v>2026-06</x:v>
      </x:c>
      <x:c r="F13" s="34" t="n">
        <x:v>3</x:v>
      </x:c>
      <x:c r="G13" t="str">
        <x:v>ENVIADO</x:v>
      </x:c>
      <x:c r="H13" t="str">
        <x:v>Site</x:v>
      </x:c>
      <x:c r="I13" t="str">
        <x:v>Cartão crédito</x:v>
      </x:c>
      <x:c r="J13" s="36" t="n">
        <x:v>13.89</x:v>
      </x:c>
      <x:c r="K13" s="34" t="n">
        <x:v>1</x:v>
      </x:c>
      <x:c r="L13" t="str"/>
      <x:c r="M13" s="34" t="n">
        <x:v>1</x:v>
      </x:c>
      <x:c r="N13" s="34" t="n">
        <x:v>1</x:v>
      </x:c>
      <x:c r="O13" s="36" t="n">
        <x:v>139.9</x:v>
      </x:c>
      <x:c r="P13" s="36" t="n">
        <x:v>4.2</x:v>
      </x:c>
      <x:c r="Q13" s="36" t="n">
        <x:v>135.7</x:v>
      </x:c>
      <x:c r="R13" s="36" t="n">
        <x:v>69</x:v>
      </x:c>
      <x:c r="S13" s="36" t="n">
        <x:v>66.7</x:v>
      </x:c>
      <x:c r="T13" s="36" t="n">
        <x:v>135.7</x:v>
      </x:c>
      <x:c r="U13" s="38" t="n">
        <x:v>0.4915</x:v>
      </x:c>
    </x:row>
    <x:row r="14">
      <x:c r="A14" s="34" t="n">
        <x:v>13</x:v>
      </x:c>
      <x:c r="B14" s="34" t="n">
        <x:v>58</x:v>
      </x:c>
      <x:c r="C14" t="str">
        <x:v>João Souza</x:v>
      </x:c>
      <x:c r="D14" s="32" t="n">
        <x:v>46164</x:v>
      </x:c>
      <x:c r="E14" t="str">
        <x:v>2026-05</x:v>
      </x:c>
      <x:c r="F14" s="34" t="n">
        <x:v>4</x:v>
      </x:c>
      <x:c r="G14" t="str">
        <x:v>ENTREGUE</x:v>
      </x:c>
      <x:c r="H14" t="str">
        <x:v>Instagram</x:v>
      </x:c>
      <x:c r="I14" t="str">
        <x:v>Pix</x:v>
      </x:c>
      <x:c r="J14" s="36" t="n">
        <x:v>34.15</x:v>
      </x:c>
      <x:c r="K14" s="34" t="n">
        <x:v>1</x:v>
      </x:c>
      <x:c r="L14" t="str"/>
      <x:c r="M14" s="34" t="n">
        <x:v>3</x:v>
      </x:c>
      <x:c r="N14" s="34" t="n">
        <x:v>3</x:v>
      </x:c>
      <x:c r="O14" s="36" t="n">
        <x:v>1189.7</x:v>
      </x:c>
      <x:c r="P14" s="36" t="n">
        <x:v>29</x:v>
      </x:c>
      <x:c r="Q14" s="36" t="n">
        <x:v>1160.7</x:v>
      </x:c>
      <x:c r="R14" s="36" t="n">
        <x:v>827</x:v>
      </x:c>
      <x:c r="S14" s="36" t="n">
        <x:v>333.7</x:v>
      </x:c>
      <x:c r="T14" s="36" t="n">
        <x:v>1160.7</x:v>
      </x:c>
      <x:c r="U14" s="38" t="n">
        <x:v>0.2875</x:v>
      </x:c>
    </x:row>
    <x:row r="15">
      <x:c r="A15" s="34" t="n">
        <x:v>14</x:v>
      </x:c>
      <x:c r="B15" s="34" t="n">
        <x:v>59</x:v>
      </x:c>
      <x:c r="C15" t="str">
        <x:v>Letícia Souza</x:v>
      </x:c>
      <x:c r="D15" s="32" t="n">
        <x:v>46124</x:v>
      </x:c>
      <x:c r="E15" t="str">
        <x:v>2026-04</x:v>
      </x:c>
      <x:c r="F15" s="34" t="n">
        <x:v>3</x:v>
      </x:c>
      <x:c r="G15" t="str">
        <x:v>ENVIADO</x:v>
      </x:c>
      <x:c r="H15" t="str">
        <x:v>Site</x:v>
      </x:c>
      <x:c r="I15" t="str">
        <x:v>Cartão crédito</x:v>
      </x:c>
      <x:c r="J15" s="36" t="n">
        <x:v>12</x:v>
      </x:c>
      <x:c r="K15" s="34" t="n">
        <x:v>1</x:v>
      </x:c>
      <x:c r="L15" t="str"/>
      <x:c r="M15" s="34" t="n">
        <x:v>2</x:v>
      </x:c>
      <x:c r="N15" s="34" t="n">
        <x:v>1</x:v>
      </x:c>
      <x:c r="O15" s="36" t="n">
        <x:v>199.8</x:v>
      </x:c>
      <x:c r="P15" s="36" t="n">
        <x:v>15.98</x:v>
      </x:c>
      <x:c r="Q15" s="36" t="n">
        <x:v>183.82</x:v>
      </x:c>
      <x:c r="R15" s="36" t="n">
        <x:v>92</x:v>
      </x:c>
      <x:c r="S15" s="36" t="n">
        <x:v>91.82</x:v>
      </x:c>
      <x:c r="T15" s="36" t="n">
        <x:v>183.82</x:v>
      </x:c>
      <x:c r="U15" s="38" t="n">
        <x:v>0.4995</x:v>
      </x:c>
    </x:row>
    <x:row r="16">
      <x:c r="A16" s="34" t="n">
        <x:v>15</x:v>
      </x:c>
      <x:c r="B16" s="34" t="n">
        <x:v>53</x:v>
      </x:c>
      <x:c r="C16" t="str">
        <x:v>Carla Almeida</x:v>
      </x:c>
      <x:c r="D16" s="32" t="n">
        <x:v>46105</x:v>
      </x:c>
      <x:c r="E16" t="str">
        <x:v>2026-03</x:v>
      </x:c>
      <x:c r="F16" s="34" t="n">
        <x:v>4</x:v>
      </x:c>
      <x:c r="G16" t="str">
        <x:v>ENTREGUE</x:v>
      </x:c>
      <x:c r="H16" t="str">
        <x:v>Instagram</x:v>
      </x:c>
      <x:c r="I16" t="str">
        <x:v>Cartão débito</x:v>
      </x:c>
      <x:c r="J16" s="36" t="n">
        <x:v>26.02</x:v>
      </x:c>
      <x:c r="K16" s="34" t="n">
        <x:v>3</x:v>
      </x:c>
      <x:c r="L16" t="str"/>
      <x:c r="M16" s="34" t="n">
        <x:v>5</x:v>
      </x:c>
      <x:c r="N16" s="34" t="n">
        <x:v>4</x:v>
      </x:c>
      <x:c r="O16" s="36" t="n">
        <x:v>759.5</x:v>
      </x:c>
      <x:c r="P16" s="36" t="n">
        <x:v>0</x:v>
      </x:c>
      <x:c r="Q16" s="36" t="n">
        <x:v>759.5</x:v>
      </x:c>
      <x:c r="R16" s="36" t="n">
        <x:v>413</x:v>
      </x:c>
      <x:c r="S16" s="36" t="n">
        <x:v>346.5</x:v>
      </x:c>
      <x:c r="T16" s="36" t="n">
        <x:v>759.5</x:v>
      </x:c>
      <x:c r="U16" s="38" t="n">
        <x:v>0.4562</x:v>
      </x:c>
    </x:row>
    <x:row r="17">
      <x:c r="A17" s="34" t="n">
        <x:v>16</x:v>
      </x:c>
      <x:c r="B17" s="34" t="n">
        <x:v>41</x:v>
      </x:c>
      <x:c r="C17" t="str">
        <x:v>Thiago Costa</x:v>
      </x:c>
      <x:c r="D17" s="32" t="n">
        <x:v>46049</x:v>
      </x:c>
      <x:c r="E17" t="str">
        <x:v>2026-01</x:v>
      </x:c>
      <x:c r="F17" s="34" t="n">
        <x:v>4</x:v>
      </x:c>
      <x:c r="G17" t="str">
        <x:v>ENTREGUE</x:v>
      </x:c>
      <x:c r="H17" t="str">
        <x:v>Indicação</x:v>
      </x:c>
      <x:c r="I17" t="str">
        <x:v>Cartão crédito</x:v>
      </x:c>
      <x:c r="J17" s="36" t="n">
        <x:v>41.29</x:v>
      </x:c>
      <x:c r="K17" s="34" t="n">
        <x:v>4</x:v>
      </x:c>
      <x:c r="L17" t="str"/>
      <x:c r="M17" s="34" t="n">
        <x:v>4</x:v>
      </x:c>
      <x:c r="N17" s="34" t="n">
        <x:v>4</x:v>
      </x:c>
      <x:c r="O17" s="36" t="n">
        <x:v>259.6</x:v>
      </x:c>
      <x:c r="P17" s="36" t="n">
        <x:v>12.98</x:v>
      </x:c>
      <x:c r="Q17" s="36" t="n">
        <x:v>246.62</x:v>
      </x:c>
      <x:c r="R17" s="36" t="n">
        <x:v>127</x:v>
      </x:c>
      <x:c r="S17" s="36" t="n">
        <x:v>119.62</x:v>
      </x:c>
      <x:c r="T17" s="36" t="n">
        <x:v>246.62</x:v>
      </x:c>
      <x:c r="U17" s="38" t="n">
        <x:v>0.485</x:v>
      </x:c>
    </x:row>
    <x:row r="18">
      <x:c r="A18" s="34" t="n">
        <x:v>17</x:v>
      </x:c>
      <x:c r="B18" s="34" t="n">
        <x:v>48</x:v>
      </x:c>
      <x:c r="C18" t="str">
        <x:v>Caio Rodrigues</x:v>
      </x:c>
      <x:c r="D18" s="32" t="n">
        <x:v>46041</x:v>
      </x:c>
      <x:c r="E18" t="str">
        <x:v>2026-01</x:v>
      </x:c>
      <x:c r="F18" s="34" t="n">
        <x:v>4</x:v>
      </x:c>
      <x:c r="G18" t="str">
        <x:v>ENTREGUE</x:v>
      </x:c>
      <x:c r="H18" t="str">
        <x:v>WhatsApp</x:v>
      </x:c>
      <x:c r="I18" t="str">
        <x:v>Boleto</x:v>
      </x:c>
      <x:c r="J18" s="36" t="n">
        <x:v>41.02</x:v>
      </x:c>
      <x:c r="K18" s="34" t="n">
        <x:v>2</x:v>
      </x:c>
      <x:c r="L18" t="str"/>
      <x:c r="M18" s="34" t="n">
        <x:v>2</x:v>
      </x:c>
      <x:c r="N18" s="34" t="n">
        <x:v>2</x:v>
      </x:c>
      <x:c r="O18" s="36" t="n">
        <x:v>629.8</x:v>
      </x:c>
      <x:c r="P18" s="36" t="n">
        <x:v>13</x:v>
      </x:c>
      <x:c r="Q18" s="36" t="n">
        <x:v>616.8</x:v>
      </x:c>
      <x:c r="R18" s="36" t="n">
        <x:v>404</x:v>
      </x:c>
      <x:c r="S18" s="36" t="n">
        <x:v>212.8</x:v>
      </x:c>
      <x:c r="T18" s="36" t="n">
        <x:v>616.8</x:v>
      </x:c>
      <x:c r="U18" s="38" t="n">
        <x:v>0.345</x:v>
      </x:c>
    </x:row>
    <x:row r="19">
      <x:c r="A19" s="34" t="n">
        <x:v>18</x:v>
      </x:c>
      <x:c r="B19" s="34" t="n">
        <x:v>24</x:v>
      </x:c>
      <x:c r="C19" t="str">
        <x:v>Gabriela Nascimento</x:v>
      </x:c>
      <x:c r="D19" s="32" t="n">
        <x:v>46135</x:v>
      </x:c>
      <x:c r="E19" t="str">
        <x:v>2026-04</x:v>
      </x:c>
      <x:c r="F19" s="34" t="n">
        <x:v>3</x:v>
      </x:c>
      <x:c r="G19" t="str">
        <x:v>ENVIADO</x:v>
      </x:c>
      <x:c r="H19" t="str">
        <x:v>Marketplace</x:v>
      </x:c>
      <x:c r="I19" t="str">
        <x:v>Pix</x:v>
      </x:c>
      <x:c r="J19" s="36" t="n">
        <x:v>23.73</x:v>
      </x:c>
      <x:c r="K19" s="34" t="n">
        <x:v>4</x:v>
      </x:c>
      <x:c r="L19" t="str"/>
      <x:c r="M19" s="34" t="n">
        <x:v>1</x:v>
      </x:c>
      <x:c r="N19" s="34" t="n">
        <x:v>1</x:v>
      </x:c>
      <x:c r="O19" s="36" t="n">
        <x:v>289.9</x:v>
      </x:c>
      <x:c r="P19" s="36" t="n">
        <x:v>23.19</x:v>
      </x:c>
      <x:c r="Q19" s="36" t="n">
        <x:v>266.71</x:v>
      </x:c>
      <x:c r="R19" s="36" t="n">
        <x:v>182</x:v>
      </x:c>
      <x:c r="S19" s="36" t="n">
        <x:v>84.71</x:v>
      </x:c>
      <x:c r="T19" s="36" t="n">
        <x:v>266.71</x:v>
      </x:c>
      <x:c r="U19" s="38" t="n">
        <x:v>0.3176</x:v>
      </x:c>
    </x:row>
    <x:row r="20">
      <x:c r="A20" s="34" t="n">
        <x:v>19</x:v>
      </x:c>
      <x:c r="B20" s="34" t="n">
        <x:v>43</x:v>
      </x:c>
      <x:c r="C20" t="str">
        <x:v>Caio Souza</x:v>
      </x:c>
      <x:c r="D20" s="32" t="n">
        <x:v>46068</x:v>
      </x:c>
      <x:c r="E20" t="str">
        <x:v>2026-02</x:v>
      </x:c>
      <x:c r="F20" s="34" t="n">
        <x:v>4</x:v>
      </x:c>
      <x:c r="G20" t="str">
        <x:v>ENTREGUE</x:v>
      </x:c>
      <x:c r="H20" t="str">
        <x:v>Site</x:v>
      </x:c>
      <x:c r="I20" t="str">
        <x:v>Cartão crédito</x:v>
      </x:c>
      <x:c r="J20" s="36" t="n">
        <x:v>12.48</x:v>
      </x:c>
      <x:c r="K20" s="34" t="n">
        <x:v>10</x:v>
      </x:c>
      <x:c r="L20" t="str"/>
      <x:c r="M20" s="34" t="n">
        <x:v>1</x:v>
      </x:c>
      <x:c r="N20" s="34" t="n">
        <x:v>1</x:v>
      </x:c>
      <x:c r="O20" s="36" t="n">
        <x:v>319.9</x:v>
      </x:c>
      <x:c r="P20" s="36" t="n">
        <x:v>25.59</x:v>
      </x:c>
      <x:c r="Q20" s="36" t="n">
        <x:v>294.31</x:v>
      </x:c>
      <x:c r="R20" s="36" t="n">
        <x:v>198</x:v>
      </x:c>
      <x:c r="S20" s="36" t="n">
        <x:v>96.31</x:v>
      </x:c>
      <x:c r="T20" s="36" t="n">
        <x:v>294.31</x:v>
      </x:c>
      <x:c r="U20" s="38" t="n">
        <x:v>0.3272</x:v>
      </x:c>
    </x:row>
    <x:row r="21">
      <x:c r="A21" s="34" t="n">
        <x:v>20</x:v>
      </x:c>
      <x:c r="B21" s="34" t="n">
        <x:v>38</x:v>
      </x:c>
      <x:c r="C21" t="str">
        <x:v>Diego Santos</x:v>
      </x:c>
      <x:c r="D21" s="32" t="n">
        <x:v>46176</x:v>
      </x:c>
      <x:c r="E21" t="str">
        <x:v>2026-06</x:v>
      </x:c>
      <x:c r="F21" s="34" t="n">
        <x:v>4</x:v>
      </x:c>
      <x:c r="G21" t="str">
        <x:v>ENTREGUE</x:v>
      </x:c>
      <x:c r="H21" t="str">
        <x:v>Site</x:v>
      </x:c>
      <x:c r="I21" t="str">
        <x:v>Cartão débito</x:v>
      </x:c>
      <x:c r="J21" s="36" t="n">
        <x:v>32.79</x:v>
      </x:c>
      <x:c r="K21" s="34" t="n">
        <x:v>4</x:v>
      </x:c>
      <x:c r="L21" t="str"/>
      <x:c r="M21" s="34" t="n">
        <x:v>1</x:v>
      </x:c>
      <x:c r="N21" s="34" t="n">
        <x:v>1</x:v>
      </x:c>
      <x:c r="O21" s="36" t="n">
        <x:v>79.9</x:v>
      </x:c>
      <x:c r="P21" s="36" t="n">
        <x:v>0</x:v>
      </x:c>
      <x:c r="Q21" s="36" t="n">
        <x:v>79.9</x:v>
      </x:c>
      <x:c r="R21" s="36" t="n">
        <x:v>37</x:v>
      </x:c>
      <x:c r="S21" s="36" t="n">
        <x:v>42.9</x:v>
      </x:c>
      <x:c r="T21" s="36" t="n">
        <x:v>79.9</x:v>
      </x:c>
      <x:c r="U21" s="38" t="n">
        <x:v>0.5369</x:v>
      </x:c>
    </x:row>
    <x:row r="22">
      <x:c r="A22" s="34" t="n">
        <x:v>21</x:v>
      </x:c>
      <x:c r="B22" s="34" t="n">
        <x:v>12</x:v>
      </x:c>
      <x:c r="C22" t="str">
        <x:v>Renan Silva</x:v>
      </x:c>
      <x:c r="D22" s="32" t="n">
        <x:v>46089</x:v>
      </x:c>
      <x:c r="E22" t="str">
        <x:v>2026-03</x:v>
      </x:c>
      <x:c r="F22" s="34" t="n">
        <x:v>4</x:v>
      </x:c>
      <x:c r="G22" t="str">
        <x:v>ENTREGUE</x:v>
      </x:c>
      <x:c r="H22" t="str">
        <x:v>Site</x:v>
      </x:c>
      <x:c r="I22" t="str">
        <x:v>Pix</x:v>
      </x:c>
      <x:c r="J22" s="36" t="n">
        <x:v>36.14</x:v>
      </x:c>
      <x:c r="K22" s="34" t="n">
        <x:v>2</x:v>
      </x:c>
      <x:c r="L22" t="str"/>
      <x:c r="M22" s="34" t="n">
        <x:v>1</x:v>
      </x:c>
      <x:c r="N22" s="34" t="n">
        <x:v>1</x:v>
      </x:c>
      <x:c r="O22" s="36" t="n">
        <x:v>189.9</x:v>
      </x:c>
      <x:c r="P22" s="36" t="n">
        <x:v>0</x:v>
      </x:c>
      <x:c r="Q22" s="36" t="n">
        <x:v>189.9</x:v>
      </x:c>
      <x:c r="R22" s="36" t="n">
        <x:v>103</x:v>
      </x:c>
      <x:c r="S22" s="36" t="n">
        <x:v>86.9</x:v>
      </x:c>
      <x:c r="T22" s="36" t="n">
        <x:v>189.9</x:v>
      </x:c>
      <x:c r="U22" s="38" t="n">
        <x:v>0.4576</x:v>
      </x:c>
    </x:row>
    <x:row r="23">
      <x:c r="A23" s="34" t="n">
        <x:v>22</x:v>
      </x:c>
      <x:c r="B23" s="34" t="n">
        <x:v>8</x:v>
      </x:c>
      <x:c r="C23" t="str">
        <x:v>Mariana Pereira</x:v>
      </x:c>
      <x:c r="D23" s="32" t="n">
        <x:v>46081</x:v>
      </x:c>
      <x:c r="E23" t="str">
        <x:v>2026-02</x:v>
      </x:c>
      <x:c r="F23" s="34" t="n">
        <x:v>4</x:v>
      </x:c>
      <x:c r="G23" t="str">
        <x:v>ENTREGUE</x:v>
      </x:c>
      <x:c r="H23" t="str">
        <x:v>WhatsApp</x:v>
      </x:c>
      <x:c r="I23" t="str">
        <x:v>Cartão crédito</x:v>
      </x:c>
      <x:c r="J23" s="36" t="n">
        <x:v>35.65</x:v>
      </x:c>
      <x:c r="K23" s="34" t="n">
        <x:v>4</x:v>
      </x:c>
      <x:c r="L23" t="str"/>
      <x:c r="M23" s="34" t="n">
        <x:v>5</x:v>
      </x:c>
      <x:c r="N23" s="34" t="n">
        <x:v>2</x:v>
      </x:c>
      <x:c r="O23" s="36" t="n">
        <x:v>2199.5</x:v>
      </x:c>
      <x:c r="P23" s="36" t="n">
        <x:v>177.99</x:v>
      </x:c>
      <x:c r="Q23" s="36" t="n">
        <x:v>2021.51</x:v>
      </x:c>
      <x:c r="R23" s="36" t="n">
        <x:v>1482</x:v>
      </x:c>
      <x:c r="S23" s="36" t="n">
        <x:v>539.51</x:v>
      </x:c>
      <x:c r="T23" s="36" t="n">
        <x:v>2021.51</x:v>
      </x:c>
      <x:c r="U23" s="38" t="n">
        <x:v>0.2669</x:v>
      </x:c>
    </x:row>
    <x:row r="24">
      <x:c r="A24" s="34" t="n">
        <x:v>23</x:v>
      </x:c>
      <x:c r="B24" s="34" t="n">
        <x:v>31</x:v>
      </x:c>
      <x:c r="C24" t="str">
        <x:v>Tatiane Lima</x:v>
      </x:c>
      <x:c r="D24" s="32" t="n">
        <x:v>46031</x:v>
      </x:c>
      <x:c r="E24" t="str">
        <x:v>2026-01</x:v>
      </x:c>
      <x:c r="F24" s="34" t="n">
        <x:v>2</x:v>
      </x:c>
      <x:c r="G24" t="str">
        <x:v>EM PROCESSAMENTO</x:v>
      </x:c>
      <x:c r="H24" t="str">
        <x:v>Site</x:v>
      </x:c>
      <x:c r="I24" t="str">
        <x:v>Cartão crédito</x:v>
      </x:c>
      <x:c r="J24" s="36" t="n">
        <x:v>44.77</x:v>
      </x:c>
      <x:c r="K24" s="34"/>
      <x:c r="L24" t="str"/>
      <x:c r="M24" s="34" t="n">
        <x:v>5</x:v>
      </x:c>
      <x:c r="N24" s="34" t="n">
        <x:v>3</x:v>
      </x:c>
      <x:c r="O24" s="36" t="n">
        <x:v>1249.5</x:v>
      </x:c>
      <x:c r="P24" s="36" t="n">
        <x:v>0</x:v>
      </x:c>
      <x:c r="Q24" s="36" t="n">
        <x:v>1249.5</x:v>
      </x:c>
      <x:c r="R24" s="36" t="n">
        <x:v>834</x:v>
      </x:c>
      <x:c r="S24" s="36" t="n">
        <x:v>415.5</x:v>
      </x:c>
      <x:c r="T24" s="36" t="n">
        <x:v>1249.5</x:v>
      </x:c>
      <x:c r="U24" s="38" t="n">
        <x:v>0.3325</x:v>
      </x:c>
    </x:row>
    <x:row r="25">
      <x:c r="A25" s="34" t="n">
        <x:v>24</x:v>
      </x:c>
      <x:c r="B25" s="34" t="n">
        <x:v>8</x:v>
      </x:c>
      <x:c r="C25" t="str">
        <x:v>Mariana Pereira</x:v>
      </x:c>
      <x:c r="D25" s="32" t="n">
        <x:v>46177</x:v>
      </x:c>
      <x:c r="E25" t="str">
        <x:v>2026-06</x:v>
      </x:c>
      <x:c r="F25" s="34" t="n">
        <x:v>4</x:v>
      </x:c>
      <x:c r="G25" t="str">
        <x:v>ENTREGUE</x:v>
      </x:c>
      <x:c r="H25" t="str">
        <x:v>Site</x:v>
      </x:c>
      <x:c r="I25" t="str">
        <x:v>Pix</x:v>
      </x:c>
      <x:c r="J25" s="36" t="n">
        <x:v>44.96</x:v>
      </x:c>
      <x:c r="K25" s="34" t="n">
        <x:v>3</x:v>
      </x:c>
      <x:c r="L25" t="str"/>
      <x:c r="M25" s="34" t="n">
        <x:v>5</x:v>
      </x:c>
      <x:c r="N25" s="34" t="n">
        <x:v>3</x:v>
      </x:c>
      <x:c r="O25" s="36" t="n">
        <x:v>1299.5</x:v>
      </x:c>
      <x:c r="P25" s="36" t="n">
        <x:v>16</x:v>
      </x:c>
      <x:c r="Q25" s="36" t="n">
        <x:v>1283.5</x:v>
      </x:c>
      <x:c r="R25" s="36" t="n">
        <x:v>831</x:v>
      </x:c>
      <x:c r="S25" s="36" t="n">
        <x:v>452.5</x:v>
      </x:c>
      <x:c r="T25" s="36" t="n">
        <x:v>1283.5</x:v>
      </x:c>
      <x:c r="U25" s="38" t="n">
        <x:v>0.3526</x:v>
      </x:c>
    </x:row>
    <x:row r="26">
      <x:c r="A26" s="34" t="n">
        <x:v>25</x:v>
      </x:c>
      <x:c r="B26" s="34" t="n">
        <x:v>6</x:v>
      </x:c>
      <x:c r="C26" t="str">
        <x:v>Yasmin Santos</x:v>
      </x:c>
      <x:c r="D26" s="32" t="n">
        <x:v>46143</x:v>
      </x:c>
      <x:c r="E26" t="str">
        <x:v>2026-05</x:v>
      </x:c>
      <x:c r="F26" s="34" t="n">
        <x:v>4</x:v>
      </x:c>
      <x:c r="G26" t="str">
        <x:v>ENTREGUE</x:v>
      </x:c>
      <x:c r="H26" t="str">
        <x:v>Site</x:v>
      </x:c>
      <x:c r="I26" t="str">
        <x:v>Cartão crédito</x:v>
      </x:c>
      <x:c r="J26" s="36" t="n">
        <x:v>35.88</x:v>
      </x:c>
      <x:c r="K26" s="34" t="n">
        <x:v>9</x:v>
      </x:c>
      <x:c r="L26" t="str"/>
      <x:c r="M26" s="34" t="n">
        <x:v>1</x:v>
      </x:c>
      <x:c r="N26" s="34" t="n">
        <x:v>1</x:v>
      </x:c>
      <x:c r="O26" s="36" t="n">
        <x:v>99.9</x:v>
      </x:c>
      <x:c r="P26" s="36" t="n">
        <x:v>0</x:v>
      </x:c>
      <x:c r="Q26" s="36" t="n">
        <x:v>99.9</x:v>
      </x:c>
      <x:c r="R26" s="36" t="n">
        <x:v>46</x:v>
      </x:c>
      <x:c r="S26" s="36" t="n">
        <x:v>53.9</x:v>
      </x:c>
      <x:c r="T26" s="36" t="n">
        <x:v>99.9</x:v>
      </x:c>
      <x:c r="U26" s="38" t="n">
        <x:v>0.5395</x:v>
      </x:c>
    </x:row>
    <x:row r="27">
      <x:c r="A27" s="34" t="n">
        <x:v>26</x:v>
      </x:c>
      <x:c r="B27" s="34" t="n">
        <x:v>49</x:v>
      </x:c>
      <x:c r="C27" t="str">
        <x:v>Caio Ribeiro</x:v>
      </x:c>
      <x:c r="D27" s="32" t="n">
        <x:v>46082</x:v>
      </x:c>
      <x:c r="E27" t="str">
        <x:v>2026-03</x:v>
      </x:c>
      <x:c r="F27" s="34" t="n">
        <x:v>4</x:v>
      </x:c>
      <x:c r="G27" t="str">
        <x:v>ENTREGUE</x:v>
      </x:c>
      <x:c r="H27" t="str">
        <x:v>Site</x:v>
      </x:c>
      <x:c r="I27" t="str">
        <x:v>Cartão crédito</x:v>
      </x:c>
      <x:c r="J27" s="36" t="n">
        <x:v>43.99</x:v>
      </x:c>
      <x:c r="K27" s="34" t="n">
        <x:v>4</x:v>
      </x:c>
      <x:c r="L27" t="str"/>
      <x:c r="M27" s="34" t="n">
        <x:v>1</x:v>
      </x:c>
      <x:c r="N27" s="34" t="n">
        <x:v>1</x:v>
      </x:c>
      <x:c r="O27" s="36" t="n">
        <x:v>79.9</x:v>
      </x:c>
      <x:c r="P27" s="36" t="n">
        <x:v>0</x:v>
      </x:c>
      <x:c r="Q27" s="36" t="n">
        <x:v>79.9</x:v>
      </x:c>
      <x:c r="R27" s="36" t="n">
        <x:v>37</x:v>
      </x:c>
      <x:c r="S27" s="36" t="n">
        <x:v>42.9</x:v>
      </x:c>
      <x:c r="T27" s="36" t="n">
        <x:v>79.9</x:v>
      </x:c>
      <x:c r="U27" s="38" t="n">
        <x:v>0.5369</x:v>
      </x:c>
    </x:row>
    <x:row r="28">
      <x:c r="A28" s="34" t="n">
        <x:v>27</x:v>
      </x:c>
      <x:c r="B28" s="34" t="n">
        <x:v>23</x:v>
      </x:c>
      <x:c r="C28" t="str">
        <x:v>Matheus Silva</x:v>
      </x:c>
      <x:c r="D28" s="32" t="n">
        <x:v>46072</x:v>
      </x:c>
      <x:c r="E28" t="str">
        <x:v>2026-02</x:v>
      </x:c>
      <x:c r="F28" s="34" t="n">
        <x:v>4</x:v>
      </x:c>
      <x:c r="G28" t="str">
        <x:v>ENTREGUE</x:v>
      </x:c>
      <x:c r="H28" t="str">
        <x:v>Indicação</x:v>
      </x:c>
      <x:c r="I28" t="str">
        <x:v>Pix</x:v>
      </x:c>
      <x:c r="J28" s="36" t="n">
        <x:v>37.62</x:v>
      </x:c>
      <x:c r="K28" s="34" t="n">
        <x:v>2</x:v>
      </x:c>
      <x:c r="L28" t="str"/>
      <x:c r="M28" s="34" t="n">
        <x:v>7</x:v>
      </x:c>
      <x:c r="N28" s="34" t="n">
        <x:v>3</x:v>
      </x:c>
      <x:c r="O28" s="36" t="n">
        <x:v>1459.3</x:v>
      </x:c>
      <x:c r="P28" s="36" t="n">
        <x:v>9.56</x:v>
      </x:c>
      <x:c r="Q28" s="36" t="n">
        <x:v>1449.74</x:v>
      </x:c>
      <x:c r="R28" s="36" t="n">
        <x:v>945</x:v>
      </x:c>
      <x:c r="S28" s="36" t="n">
        <x:v>504.74</x:v>
      </x:c>
      <x:c r="T28" s="36" t="n">
        <x:v>1449.74</x:v>
      </x:c>
      <x:c r="U28" s="38" t="n">
        <x:v>0.3482</x:v>
      </x:c>
    </x:row>
    <x:row r="29">
      <x:c r="A29" s="34" t="n">
        <x:v>28</x:v>
      </x:c>
      <x:c r="B29" s="34" t="n">
        <x:v>1</x:v>
      </x:c>
      <x:c r="C29" t="str">
        <x:v>Nicolas Souza</x:v>
      </x:c>
      <x:c r="D29" s="32" t="n">
        <x:v>46157</x:v>
      </x:c>
      <x:c r="E29" t="str">
        <x:v>2026-05</x:v>
      </x:c>
      <x:c r="F29" s="34" t="n">
        <x:v>4</x:v>
      </x:c>
      <x:c r="G29" t="str">
        <x:v>ENTREGUE</x:v>
      </x:c>
      <x:c r="H29" t="str">
        <x:v>Site</x:v>
      </x:c>
      <x:c r="I29" t="str">
        <x:v>Pix</x:v>
      </x:c>
      <x:c r="J29" s="36" t="n">
        <x:v>19.79</x:v>
      </x:c>
      <x:c r="K29" s="34" t="n">
        <x:v>4</x:v>
      </x:c>
      <x:c r="L29" t="str"/>
      <x:c r="M29" s="34" t="n">
        <x:v>1</x:v>
      </x:c>
      <x:c r="N29" s="34" t="n">
        <x:v>1</x:v>
      </x:c>
      <x:c r="O29" s="36" t="n">
        <x:v>159.9</x:v>
      </x:c>
      <x:c r="P29" s="36" t="n">
        <x:v>0</x:v>
      </x:c>
      <x:c r="Q29" s="36" t="n">
        <x:v>159.9</x:v>
      </x:c>
      <x:c r="R29" s="36" t="n">
        <x:v>84</x:v>
      </x:c>
      <x:c r="S29" s="36" t="n">
        <x:v>75.9</x:v>
      </x:c>
      <x:c r="T29" s="36" t="n">
        <x:v>159.9</x:v>
      </x:c>
      <x:c r="U29" s="38" t="n">
        <x:v>0.4747</x:v>
      </x:c>
    </x:row>
    <x:row r="30">
      <x:c r="A30" s="34" t="n">
        <x:v>29</x:v>
      </x:c>
      <x:c r="B30" s="34" t="n">
        <x:v>11</x:v>
      </x:c>
      <x:c r="C30" t="str">
        <x:v>Felipe Martins</x:v>
      </x:c>
      <x:c r="D30" s="32" t="n">
        <x:v>46171</x:v>
      </x:c>
      <x:c r="E30" t="str">
        <x:v>2026-05</x:v>
      </x:c>
      <x:c r="F30" s="34" t="n">
        <x:v>4</x:v>
      </x:c>
      <x:c r="G30" t="str">
        <x:v>ENTREGUE</x:v>
      </x:c>
      <x:c r="H30" t="str">
        <x:v>WhatsApp</x:v>
      </x:c>
      <x:c r="I30" t="str">
        <x:v>Pix</x:v>
      </x:c>
      <x:c r="J30" s="36" t="n">
        <x:v>12</x:v>
      </x:c>
      <x:c r="K30" s="34" t="n">
        <x:v>5</x:v>
      </x:c>
      <x:c r="L30" t="str"/>
      <x:c r="M30" s="34" t="n">
        <x:v>1</x:v>
      </x:c>
      <x:c r="N30" s="34" t="n">
        <x:v>1</x:v>
      </x:c>
      <x:c r="O30" s="36" t="n">
        <x:v>99.9</x:v>
      </x:c>
      <x:c r="P30" s="36" t="n">
        <x:v>4.99</x:v>
      </x:c>
      <x:c r="Q30" s="36" t="n">
        <x:v>94.91</x:v>
      </x:c>
      <x:c r="R30" s="36" t="n">
        <x:v>46</x:v>
      </x:c>
      <x:c r="S30" s="36" t="n">
        <x:v>48.91</x:v>
      </x:c>
      <x:c r="T30" s="36" t="n">
        <x:v>94.91</x:v>
      </x:c>
      <x:c r="U30" s="38" t="n">
        <x:v>0.5153</x:v>
      </x:c>
    </x:row>
    <x:row r="31">
      <x:c r="A31" s="34" t="n">
        <x:v>30</x:v>
      </x:c>
      <x:c r="B31" s="34" t="n">
        <x:v>43</x:v>
      </x:c>
      <x:c r="C31" t="str">
        <x:v>Caio Souza</x:v>
      </x:c>
      <x:c r="D31" s="32" t="n">
        <x:v>46067</x:v>
      </x:c>
      <x:c r="E31" t="str">
        <x:v>2026-02</x:v>
      </x:c>
      <x:c r="F31" s="34" t="n">
        <x:v>4</x:v>
      </x:c>
      <x:c r="G31" t="str">
        <x:v>ENTREGUE</x:v>
      </x:c>
      <x:c r="H31" t="str">
        <x:v>Site</x:v>
      </x:c>
      <x:c r="I31" t="str">
        <x:v>Pix</x:v>
      </x:c>
      <x:c r="J31" s="36" t="n">
        <x:v>34.17</x:v>
      </x:c>
      <x:c r="K31" s="34" t="n">
        <x:v>3</x:v>
      </x:c>
      <x:c r="L31" t="str"/>
      <x:c r="M31" s="34" t="n">
        <x:v>1</x:v>
      </x:c>
      <x:c r="N31" s="34" t="n">
        <x:v>1</x:v>
      </x:c>
      <x:c r="O31" s="36" t="n">
        <x:v>179.9</x:v>
      </x:c>
      <x:c r="P31" s="36" t="n">
        <x:v>5.4</x:v>
      </x:c>
      <x:c r="Q31" s="36" t="n">
        <x:v>174.5</x:v>
      </x:c>
      <x:c r="R31" s="36" t="n">
        <x:v>107</x:v>
      </x:c>
      <x:c r="S31" s="36" t="n">
        <x:v>67.5</x:v>
      </x:c>
      <x:c r="T31" s="36" t="n">
        <x:v>174.5</x:v>
      </x:c>
      <x:c r="U31" s="38" t="n">
        <x:v>0.3868</x:v>
      </x:c>
    </x:row>
    <x:row r="32">
      <x:c r="A32" s="34" t="n">
        <x:v>31</x:v>
      </x:c>
      <x:c r="B32" s="34" t="n">
        <x:v>20</x:v>
      </x:c>
      <x:c r="C32" t="str">
        <x:v>Henrique Silva</x:v>
      </x:c>
      <x:c r="D32" s="32" t="n">
        <x:v>46177</x:v>
      </x:c>
      <x:c r="E32" t="str">
        <x:v>2026-06</x:v>
      </x:c>
      <x:c r="F32" s="34" t="n">
        <x:v>4</x:v>
      </x:c>
      <x:c r="G32" t="str">
        <x:v>ENTREGUE</x:v>
      </x:c>
      <x:c r="H32" t="str">
        <x:v>Site</x:v>
      </x:c>
      <x:c r="I32" t="str">
        <x:v>Pix</x:v>
      </x:c>
      <x:c r="J32" s="36" t="n">
        <x:v>31.07</x:v>
      </x:c>
      <x:c r="K32" s="34" t="n">
        <x:v>4</x:v>
      </x:c>
      <x:c r="L32" t="str"/>
      <x:c r="M32" s="34" t="n">
        <x:v>1</x:v>
      </x:c>
      <x:c r="N32" s="34" t="n">
        <x:v>1</x:v>
      </x:c>
      <x:c r="O32" s="36" t="n">
        <x:v>119.9</x:v>
      </x:c>
      <x:c r="P32" s="36" t="n">
        <x:v>0</x:v>
      </x:c>
      <x:c r="Q32" s="36" t="n">
        <x:v>119.9</x:v>
      </x:c>
      <x:c r="R32" s="36" t="n">
        <x:v>58</x:v>
      </x:c>
      <x:c r="S32" s="36" t="n">
        <x:v>61.9</x:v>
      </x:c>
      <x:c r="T32" s="36" t="n">
        <x:v>119.9</x:v>
      </x:c>
      <x:c r="U32" s="38" t="n">
        <x:v>0.5163</x:v>
      </x:c>
    </x:row>
    <x:row r="33">
      <x:c r="A33" s="34" t="n">
        <x:v>32</x:v>
      </x:c>
      <x:c r="B33" s="34" t="n">
        <x:v>48</x:v>
      </x:c>
      <x:c r="C33" t="str">
        <x:v>Caio Rodrigues</x:v>
      </x:c>
      <x:c r="D33" s="32" t="n">
        <x:v>46047</x:v>
      </x:c>
      <x:c r="E33" t="str">
        <x:v>2026-01</x:v>
      </x:c>
      <x:c r="F33" s="34" t="n">
        <x:v>1</x:v>
      </x:c>
      <x:c r="G33" t="str">
        <x:v>PENDENTE</x:v>
      </x:c>
      <x:c r="H33" t="str">
        <x:v>Site</x:v>
      </x:c>
      <x:c r="I33" t="str">
        <x:v>Cartão crédito</x:v>
      </x:c>
      <x:c r="J33" s="36" t="n">
        <x:v>40.49</x:v>
      </x:c>
      <x:c r="K33" s="34"/>
      <x:c r="L33" t="str"/>
      <x:c r="M33" s="34" t="n">
        <x:v>1</x:v>
      </x:c>
      <x:c r="N33" s="34" t="n">
        <x:v>1</x:v>
      </x:c>
      <x:c r="O33" s="36" t="n">
        <x:v>89.9</x:v>
      </x:c>
      <x:c r="P33" s="36" t="n">
        <x:v>0</x:v>
      </x:c>
      <x:c r="Q33" s="36" t="n">
        <x:v>89.9</x:v>
      </x:c>
      <x:c r="R33" s="36" t="n">
        <x:v>48</x:v>
      </x:c>
      <x:c r="S33" s="36" t="n">
        <x:v>41.9</x:v>
      </x:c>
      <x:c r="T33" s="36" t="n">
        <x:v>89.9</x:v>
      </x:c>
      <x:c r="U33" s="38" t="n">
        <x:v>0.4661</x:v>
      </x:c>
    </x:row>
    <x:row r="34">
      <x:c r="A34" s="34" t="n">
        <x:v>33</x:v>
      </x:c>
      <x:c r="B34" s="34" t="n">
        <x:v>48</x:v>
      </x:c>
      <x:c r="C34" t="str">
        <x:v>Caio Rodrigues</x:v>
      </x:c>
      <x:c r="D34" s="32" t="n">
        <x:v>46125</x:v>
      </x:c>
      <x:c r="E34" t="str">
        <x:v>2026-04</x:v>
      </x:c>
      <x:c r="F34" s="34" t="n">
        <x:v>4</x:v>
      </x:c>
      <x:c r="G34" t="str">
        <x:v>ENTREGUE</x:v>
      </x:c>
      <x:c r="H34" t="str">
        <x:v>Indicação</x:v>
      </x:c>
      <x:c r="I34" t="str">
        <x:v>Cartão crédito</x:v>
      </x:c>
      <x:c r="J34" s="36" t="n">
        <x:v>16.92</x:v>
      </x:c>
      <x:c r="K34" s="34" t="n">
        <x:v>3</x:v>
      </x:c>
      <x:c r="L34" t="str"/>
      <x:c r="M34" s="34" t="n">
        <x:v>1</x:v>
      </x:c>
      <x:c r="N34" s="34" t="n">
        <x:v>1</x:v>
      </x:c>
      <x:c r="O34" s="36" t="n">
        <x:v>49.9</x:v>
      </x:c>
      <x:c r="P34" s="36" t="n">
        <x:v>0</x:v>
      </x:c>
      <x:c r="Q34" s="36" t="n">
        <x:v>49.9</x:v>
      </x:c>
      <x:c r="R34" s="36" t="n">
        <x:v>25</x:v>
      </x:c>
      <x:c r="S34" s="36" t="n">
        <x:v>24.9</x:v>
      </x:c>
      <x:c r="T34" s="36" t="n">
        <x:v>49.9</x:v>
      </x:c>
      <x:c r="U34" s="38" t="n">
        <x:v>0.499</x:v>
      </x:c>
    </x:row>
    <x:row r="35">
      <x:c r="A35" s="34" t="n">
        <x:v>34</x:v>
      </x:c>
      <x:c r="B35" s="34" t="n">
        <x:v>21</x:v>
      </x:c>
      <x:c r="C35" t="str">
        <x:v>Henrique Pereira</x:v>
      </x:c>
      <x:c r="D35" s="32" t="n">
        <x:v>46101</x:v>
      </x:c>
      <x:c r="E35" t="str">
        <x:v>2026-03</x:v>
      </x:c>
      <x:c r="F35" s="34" t="n">
        <x:v>1</x:v>
      </x:c>
      <x:c r="G35" t="str">
        <x:v>PENDENTE</x:v>
      </x:c>
      <x:c r="H35" t="str">
        <x:v>Instagram</x:v>
      </x:c>
      <x:c r="I35" t="str">
        <x:v>Pix</x:v>
      </x:c>
      <x:c r="J35" s="36" t="n">
        <x:v>23</x:v>
      </x:c>
      <x:c r="K35" s="34"/>
      <x:c r="L35" t="str"/>
      <x:c r="M35" s="34" t="n">
        <x:v>1</x:v>
      </x:c>
      <x:c r="N35" s="34" t="n">
        <x:v>1</x:v>
      </x:c>
      <x:c r="O35" s="36" t="n">
        <x:v>139.9</x:v>
      </x:c>
      <x:c r="P35" s="36" t="n">
        <x:v>0</x:v>
      </x:c>
      <x:c r="Q35" s="36" t="n">
        <x:v>139.9</x:v>
      </x:c>
      <x:c r="R35" s="36" t="n">
        <x:v>69</x:v>
      </x:c>
      <x:c r="S35" s="36" t="n">
        <x:v>70.9</x:v>
      </x:c>
      <x:c r="T35" s="36" t="n">
        <x:v>139.9</x:v>
      </x:c>
      <x:c r="U35" s="38" t="n">
        <x:v>0.5068</x:v>
      </x:c>
    </x:row>
    <x:row r="36">
      <x:c r="A36" s="34" t="n">
        <x:v>35</x:v>
      </x:c>
      <x:c r="B36" s="34" t="n">
        <x:v>56</x:v>
      </x:c>
      <x:c r="C36" t="str">
        <x:v>Olívia Lima</x:v>
      </x:c>
      <x:c r="D36" s="32" t="n">
        <x:v>46148</x:v>
      </x:c>
      <x:c r="E36" t="str">
        <x:v>2026-05</x:v>
      </x:c>
      <x:c r="F36" s="34" t="n">
        <x:v>2</x:v>
      </x:c>
      <x:c r="G36" t="str">
        <x:v>EM PROCESSAMENTO</x:v>
      </x:c>
      <x:c r="H36" t="str">
        <x:v>Site</x:v>
      </x:c>
      <x:c r="I36" t="str">
        <x:v>Cartão crédito</x:v>
      </x:c>
      <x:c r="J36" s="36" t="n">
        <x:v>42.63</x:v>
      </x:c>
      <x:c r="K36" s="34"/>
      <x:c r="L36" t="str"/>
      <x:c r="M36" s="34" t="n">
        <x:v>1</x:v>
      </x:c>
      <x:c r="N36" s="34" t="n">
        <x:v>1</x:v>
      </x:c>
      <x:c r="O36" s="36" t="n">
        <x:v>29.9</x:v>
      </x:c>
      <x:c r="P36" s="36" t="n">
        <x:v>0.9</x:v>
      </x:c>
      <x:c r="Q36" s="36" t="n">
        <x:v>29</x:v>
      </x:c>
      <x:c r="R36" s="36" t="n">
        <x:v>10</x:v>
      </x:c>
      <x:c r="S36" s="36" t="n">
        <x:v>19</x:v>
      </x:c>
      <x:c r="T36" s="36" t="n">
        <x:v>29</x:v>
      </x:c>
      <x:c r="U36" s="38" t="n">
        <x:v>0.6552</x:v>
      </x:c>
    </x:row>
    <x:row r="37">
      <x:c r="A37" s="34" t="n">
        <x:v>36</x:v>
      </x:c>
      <x:c r="B37" s="34" t="n">
        <x:v>23</x:v>
      </x:c>
      <x:c r="C37" t="str">
        <x:v>Matheus Silva</x:v>
      </x:c>
      <x:c r="D37" s="32" t="n">
        <x:v>46174</x:v>
      </x:c>
      <x:c r="E37" t="str">
        <x:v>2026-06</x:v>
      </x:c>
      <x:c r="F37" s="34" t="n">
        <x:v>4</x:v>
      </x:c>
      <x:c r="G37" t="str">
        <x:v>ENTREGUE</x:v>
      </x:c>
      <x:c r="H37" t="str">
        <x:v>Site</x:v>
      </x:c>
      <x:c r="I37" t="str">
        <x:v>Pix</x:v>
      </x:c>
      <x:c r="J37" s="36" t="n">
        <x:v>39.98</x:v>
      </x:c>
      <x:c r="K37" s="34" t="n">
        <x:v>5</x:v>
      </x:c>
      <x:c r="L37" t="str"/>
      <x:c r="M37" s="34" t="n">
        <x:v>1</x:v>
      </x:c>
      <x:c r="N37" s="34" t="n">
        <x:v>1</x:v>
      </x:c>
      <x:c r="O37" s="36" t="n">
        <x:v>139.9</x:v>
      </x:c>
      <x:c r="P37" s="36" t="n">
        <x:v>6.99</x:v>
      </x:c>
      <x:c r="Q37" s="36" t="n">
        <x:v>132.91</x:v>
      </x:c>
      <x:c r="R37" s="36" t="n">
        <x:v>69</x:v>
      </x:c>
      <x:c r="S37" s="36" t="n">
        <x:v>63.91</x:v>
      </x:c>
      <x:c r="T37" s="36" t="n">
        <x:v>132.91</x:v>
      </x:c>
      <x:c r="U37" s="38" t="n">
        <x:v>0.4809</x:v>
      </x:c>
    </x:row>
    <x:row r="38">
      <x:c r="A38" s="34" t="n">
        <x:v>37</x:v>
      </x:c>
      <x:c r="B38" s="34" t="n">
        <x:v>50</x:v>
      </x:c>
      <x:c r="C38" t="str">
        <x:v>Rodrigo Lima</x:v>
      </x:c>
      <x:c r="D38" s="32" t="n">
        <x:v>46062</x:v>
      </x:c>
      <x:c r="E38" t="str">
        <x:v>2026-02</x:v>
      </x:c>
      <x:c r="F38" s="34" t="n">
        <x:v>2</x:v>
      </x:c>
      <x:c r="G38" t="str">
        <x:v>EM PROCESSAMENTO</x:v>
      </x:c>
      <x:c r="H38" t="str">
        <x:v>Marketplace</x:v>
      </x:c>
      <x:c r="I38" t="str">
        <x:v>Pix</x:v>
      </x:c>
      <x:c r="J38" s="36" t="n">
        <x:v>12</x:v>
      </x:c>
      <x:c r="K38" s="34"/>
      <x:c r="L38" t="str"/>
      <x:c r="M38" s="34" t="n">
        <x:v>6</x:v>
      </x:c>
      <x:c r="N38" s="34" t="n">
        <x:v>2</x:v>
      </x:c>
      <x:c r="O38" s="36" t="n">
        <x:v>1079.4</x:v>
      </x:c>
      <x:c r="P38" s="36" t="n">
        <x:v>0</x:v>
      </x:c>
      <x:c r="Q38" s="36" t="n">
        <x:v>1079.4</x:v>
      </x:c>
      <x:c r="R38" s="36" t="n">
        <x:v>570</x:v>
      </x:c>
      <x:c r="S38" s="36" t="n">
        <x:v>509.4</x:v>
      </x:c>
      <x:c r="T38" s="36" t="n">
        <x:v>1079.4</x:v>
      </x:c>
      <x:c r="U38" s="38" t="n">
        <x:v>0.4719</x:v>
      </x:c>
    </x:row>
    <x:row r="39">
      <x:c r="A39" s="34" t="n">
        <x:v>38</x:v>
      </x:c>
      <x:c r="B39" s="34" t="n">
        <x:v>51</x:v>
      </x:c>
      <x:c r="C39" t="str">
        <x:v>Sofia Martins</x:v>
      </x:c>
      <x:c r="D39" s="32" t="n">
        <x:v>46084</x:v>
      </x:c>
      <x:c r="E39" t="str">
        <x:v>2026-03</x:v>
      </x:c>
      <x:c r="F39" s="34" t="n">
        <x:v>4</x:v>
      </x:c>
      <x:c r="G39" t="str">
        <x:v>ENTREGUE</x:v>
      </x:c>
      <x:c r="H39" t="str">
        <x:v>Site</x:v>
      </x:c>
      <x:c r="I39" t="str">
        <x:v>Cartão débito</x:v>
      </x:c>
      <x:c r="J39" s="36" t="n">
        <x:v>12</x:v>
      </x:c>
      <x:c r="K39" s="34" t="n">
        <x:v>4</x:v>
      </x:c>
      <x:c r="L39" t="str"/>
      <x:c r="M39" s="34" t="n">
        <x:v>1</x:v>
      </x:c>
      <x:c r="N39" s="34" t="n">
        <x:v>1</x:v>
      </x:c>
      <x:c r="O39" s="36" t="n">
        <x:v>49.9</x:v>
      </x:c>
      <x:c r="P39" s="36" t="n">
        <x:v>3.99</x:v>
      </x:c>
      <x:c r="Q39" s="36" t="n">
        <x:v>45.91</x:v>
      </x:c>
      <x:c r="R39" s="36" t="n">
        <x:v>25</x:v>
      </x:c>
      <x:c r="S39" s="36" t="n">
        <x:v>20.91</x:v>
      </x:c>
      <x:c r="T39" s="36" t="n">
        <x:v>45.91</x:v>
      </x:c>
      <x:c r="U39" s="38" t="n">
        <x:v>0.4555</x:v>
      </x:c>
    </x:row>
    <x:row r="40">
      <x:c r="A40" s="34" t="n">
        <x:v>39</x:v>
      </x:c>
      <x:c r="B40" s="34" t="n">
        <x:v>40</x:v>
      </x:c>
      <x:c r="C40" t="str">
        <x:v>Samuel Araujo</x:v>
      </x:c>
      <x:c r="D40" s="32" t="n">
        <x:v>46071</x:v>
      </x:c>
      <x:c r="E40" t="str">
        <x:v>2026-02</x:v>
      </x:c>
      <x:c r="F40" s="34" t="n">
        <x:v>4</x:v>
      </x:c>
      <x:c r="G40" t="str">
        <x:v>ENTREGUE</x:v>
      </x:c>
      <x:c r="H40" t="str">
        <x:v>Site</x:v>
      </x:c>
      <x:c r="I40" t="str">
        <x:v>Pix</x:v>
      </x:c>
      <x:c r="J40" s="36" t="n">
        <x:v>33.32</x:v>
      </x:c>
      <x:c r="K40" s="34" t="n">
        <x:v>7</x:v>
      </x:c>
      <x:c r="L40" t="str"/>
      <x:c r="M40" s="34" t="n">
        <x:v>5</x:v>
      </x:c>
      <x:c r="N40" s="34" t="n">
        <x:v>2</x:v>
      </x:c>
      <x:c r="O40" s="36" t="n">
        <x:v>1349.5</x:v>
      </x:c>
      <x:c r="P40" s="36" t="n">
        <x:v>7.2</x:v>
      </x:c>
      <x:c r="Q40" s="36" t="n">
        <x:v>1342.3</x:v>
      </x:c>
      <x:c r="R40" s="36" t="n">
        <x:v>854</x:v>
      </x:c>
      <x:c r="S40" s="36" t="n">
        <x:v>488.3</x:v>
      </x:c>
      <x:c r="T40" s="36" t="n">
        <x:v>1342.3</x:v>
      </x:c>
      <x:c r="U40" s="38" t="n">
        <x:v>0.3638</x:v>
      </x:c>
    </x:row>
    <x:row r="41">
      <x:c r="A41" s="34" t="n">
        <x:v>40</x:v>
      </x:c>
      <x:c r="B41" s="34" t="n">
        <x:v>54</x:v>
      </x:c>
      <x:c r="C41" t="str">
        <x:v>Eduarda Gomes</x:v>
      </x:c>
      <x:c r="D41" s="32" t="n">
        <x:v>46080</x:v>
      </x:c>
      <x:c r="E41" t="str">
        <x:v>2026-02</x:v>
      </x:c>
      <x:c r="F41" s="34" t="n">
        <x:v>4</x:v>
      </x:c>
      <x:c r="G41" t="str">
        <x:v>ENTREGUE</x:v>
      </x:c>
      <x:c r="H41" t="str">
        <x:v>Site</x:v>
      </x:c>
      <x:c r="I41" t="str">
        <x:v>Cartão crédito</x:v>
      </x:c>
      <x:c r="J41" s="36" t="n">
        <x:v>22.84</x:v>
      </x:c>
      <x:c r="K41" s="34" t="n">
        <x:v>5</x:v>
      </x:c>
      <x:c r="L41" t="str"/>
      <x:c r="M41" s="34" t="n">
        <x:v>1</x:v>
      </x:c>
      <x:c r="N41" s="34" t="n">
        <x:v>1</x:v>
      </x:c>
      <x:c r="O41" s="36" t="n">
        <x:v>799.9</x:v>
      </x:c>
      <x:c r="P41" s="36" t="n">
        <x:v>0</x:v>
      </x:c>
      <x:c r="Q41" s="36" t="n">
        <x:v>799.9</x:v>
      </x:c>
      <x:c r="R41" s="36" t="n">
        <x:v>612</x:v>
      </x:c>
      <x:c r="S41" s="36" t="n">
        <x:v>187.9</x:v>
      </x:c>
      <x:c r="T41" s="36" t="n">
        <x:v>799.9</x:v>
      </x:c>
      <x:c r="U41" s="38" t="n">
        <x:v>0.2349</x:v>
      </x:c>
    </x:row>
    <x:row r="42">
      <x:c r="A42" s="34" t="n">
        <x:v>41</x:v>
      </x:c>
      <x:c r="B42" s="34" t="n">
        <x:v>19</x:v>
      </x:c>
      <x:c r="C42" t="str">
        <x:v>Sofia Nascimento</x:v>
      </x:c>
      <x:c r="D42" s="32" t="n">
        <x:v>46177</x:v>
      </x:c>
      <x:c r="E42" t="str">
        <x:v>2026-06</x:v>
      </x:c>
      <x:c r="F42" s="34" t="n">
        <x:v>3</x:v>
      </x:c>
      <x:c r="G42" t="str">
        <x:v>ENVIADO</x:v>
      </x:c>
      <x:c r="H42" t="str">
        <x:v>Site</x:v>
      </x:c>
      <x:c r="I42" t="str">
        <x:v>Pix</x:v>
      </x:c>
      <x:c r="J42" s="36" t="n">
        <x:v>45.95</x:v>
      </x:c>
      <x:c r="K42" s="34" t="n">
        <x:v>1</x:v>
      </x:c>
      <x:c r="L42" t="str"/>
      <x:c r="M42" s="34" t="n">
        <x:v>1</x:v>
      </x:c>
      <x:c r="N42" s="34" t="n">
        <x:v>1</x:v>
      </x:c>
      <x:c r="O42" s="36" t="n">
        <x:v>899.9</x:v>
      </x:c>
      <x:c r="P42" s="36" t="n">
        <x:v>0</x:v>
      </x:c>
      <x:c r="Q42" s="36" t="n">
        <x:v>899.9</x:v>
      </x:c>
      <x:c r="R42" s="36" t="n">
        <x:v>665</x:v>
      </x:c>
      <x:c r="S42" s="36" t="n">
        <x:v>234.9</x:v>
      </x:c>
      <x:c r="T42" s="36" t="n">
        <x:v>899.9</x:v>
      </x:c>
      <x:c r="U42" s="38" t="n">
        <x:v>0.261</x:v>
      </x:c>
    </x:row>
    <x:row r="43">
      <x:c r="A43" s="34" t="n">
        <x:v>42</x:v>
      </x:c>
      <x:c r="B43" s="34" t="n">
        <x:v>55</x:v>
      </x:c>
      <x:c r="C43" t="str">
        <x:v>Henrique Araujo</x:v>
      </x:c>
      <x:c r="D43" s="32" t="n">
        <x:v>46156</x:v>
      </x:c>
      <x:c r="E43" t="str">
        <x:v>2026-05</x:v>
      </x:c>
      <x:c r="F43" s="34" t="n">
        <x:v>4</x:v>
      </x:c>
      <x:c r="G43" t="str">
        <x:v>ENTREGUE</x:v>
      </x:c>
      <x:c r="H43" t="str">
        <x:v>Site</x:v>
      </x:c>
      <x:c r="I43" t="str">
        <x:v>Cartão crédito</x:v>
      </x:c>
      <x:c r="J43" s="36" t="n">
        <x:v>23.4</x:v>
      </x:c>
      <x:c r="K43" s="34" t="n">
        <x:v>1</x:v>
      </x:c>
      <x:c r="L43" t="str"/>
      <x:c r="M43" s="34" t="n">
        <x:v>5</x:v>
      </x:c>
      <x:c r="N43" s="34" t="n">
        <x:v>2</x:v>
      </x:c>
      <x:c r="O43" s="36" t="n">
        <x:v>199.5</x:v>
      </x:c>
      <x:c r="P43" s="36" t="n">
        <x:v>2.4</x:v>
      </x:c>
      <x:c r="Q43" s="36" t="n">
        <x:v>197.1</x:v>
      </x:c>
      <x:c r="R43" s="36" t="n">
        <x:v>77</x:v>
      </x:c>
      <x:c r="S43" s="36" t="n">
        <x:v>120.1</x:v>
      </x:c>
      <x:c r="T43" s="36" t="n">
        <x:v>197.1</x:v>
      </x:c>
      <x:c r="U43" s="38" t="n">
        <x:v>0.6093</x:v>
      </x:c>
    </x:row>
    <x:row r="44">
      <x:c r="A44" s="34" t="n">
        <x:v>43</x:v>
      </x:c>
      <x:c r="B44" s="34" t="n">
        <x:v>51</x:v>
      </x:c>
      <x:c r="C44" t="str">
        <x:v>Sofia Martins</x:v>
      </x:c>
      <x:c r="D44" s="32" t="n">
        <x:v>46154</x:v>
      </x:c>
      <x:c r="E44" t="str">
        <x:v>2026-05</x:v>
      </x:c>
      <x:c r="F44" s="34" t="n">
        <x:v>4</x:v>
      </x:c>
      <x:c r="G44" t="str">
        <x:v>ENTREGUE</x:v>
      </x:c>
      <x:c r="H44" t="str">
        <x:v>Marketplace</x:v>
      </x:c>
      <x:c r="I44" t="str">
        <x:v>Pix</x:v>
      </x:c>
      <x:c r="J44" s="36" t="n">
        <x:v>59.58</x:v>
      </x:c>
      <x:c r="K44" s="34" t="n">
        <x:v>9</x:v>
      </x:c>
      <x:c r="L44" t="str"/>
      <x:c r="M44" s="34" t="n">
        <x:v>1</x:v>
      </x:c>
      <x:c r="N44" s="34" t="n">
        <x:v>1</x:v>
      </x:c>
      <x:c r="O44" s="36" t="n">
        <x:v>89.9</x:v>
      </x:c>
      <x:c r="P44" s="36" t="n">
        <x:v>2.7</x:v>
      </x:c>
      <x:c r="Q44" s="36" t="n">
        <x:v>87.2</x:v>
      </x:c>
      <x:c r="R44" s="36" t="n">
        <x:v>48</x:v>
      </x:c>
      <x:c r="S44" s="36" t="n">
        <x:v>39.2</x:v>
      </x:c>
      <x:c r="T44" s="36" t="n">
        <x:v>87.2</x:v>
      </x:c>
      <x:c r="U44" s="38" t="n">
        <x:v>0.4495</x:v>
      </x:c>
    </x:row>
    <x:row r="45">
      <x:c r="A45" s="34" t="n">
        <x:v>44</x:v>
      </x:c>
      <x:c r="B45" s="34" t="n">
        <x:v>20</x:v>
      </x:c>
      <x:c r="C45" t="str">
        <x:v>Henrique Silva</x:v>
      </x:c>
      <x:c r="D45" s="32" t="n">
        <x:v>46176</x:v>
      </x:c>
      <x:c r="E45" t="str">
        <x:v>2026-06</x:v>
      </x:c>
      <x:c r="F45" s="34" t="n">
        <x:v>1</x:v>
      </x:c>
      <x:c r="G45" t="str">
        <x:v>PENDENTE</x:v>
      </x:c>
      <x:c r="H45" t="str">
        <x:v>WhatsApp</x:v>
      </x:c>
      <x:c r="I45" t="str">
        <x:v>Pix</x:v>
      </x:c>
      <x:c r="J45" s="36" t="n">
        <x:v>31.49</x:v>
      </x:c>
      <x:c r="K45" s="34"/>
      <x:c r="L45" t="str"/>
      <x:c r="M45" s="34" t="n">
        <x:v>1</x:v>
      </x:c>
      <x:c r="N45" s="34" t="n">
        <x:v>1</x:v>
      </x:c>
      <x:c r="O45" s="36" t="n">
        <x:v>199.9</x:v>
      </x:c>
      <x:c r="P45" s="36" t="n">
        <x:v>0</x:v>
      </x:c>
      <x:c r="Q45" s="36" t="n">
        <x:v>199.9</x:v>
      </x:c>
      <x:c r="R45" s="36" t="n">
        <x:v>112</x:v>
      </x:c>
      <x:c r="S45" s="36" t="n">
        <x:v>87.9</x:v>
      </x:c>
      <x:c r="T45" s="36" t="n">
        <x:v>199.9</x:v>
      </x:c>
      <x:c r="U45" s="38" t="n">
        <x:v>0.4397</x:v>
      </x:c>
    </x:row>
    <x:row r="46">
      <x:c r="A46" s="34" t="n">
        <x:v>45</x:v>
      </x:c>
      <x:c r="B46" s="34" t="n">
        <x:v>7</x:v>
      </x:c>
      <x:c r="C46" t="str">
        <x:v>Thiago Gomes</x:v>
      </x:c>
      <x:c r="D46" s="32" t="n">
        <x:v>46099</x:v>
      </x:c>
      <x:c r="E46" t="str">
        <x:v>2026-03</x:v>
      </x:c>
      <x:c r="F46" s="34" t="n">
        <x:v>4</x:v>
      </x:c>
      <x:c r="G46" t="str">
        <x:v>ENTREGUE</x:v>
      </x:c>
      <x:c r="H46" t="str">
        <x:v>Indicação</x:v>
      </x:c>
      <x:c r="I46" t="str">
        <x:v>Pix</x:v>
      </x:c>
      <x:c r="J46" s="36" t="n">
        <x:v>19.07</x:v>
      </x:c>
      <x:c r="K46" s="34" t="n">
        <x:v>3</x:v>
      </x:c>
      <x:c r="L46" t="str"/>
      <x:c r="M46" s="34" t="n">
        <x:v>2</x:v>
      </x:c>
      <x:c r="N46" s="34" t="n">
        <x:v>2</x:v>
      </x:c>
      <x:c r="O46" s="36" t="n">
        <x:v>359.8</x:v>
      </x:c>
      <x:c r="P46" s="36" t="n">
        <x:v>22.99</x:v>
      </x:c>
      <x:c r="Q46" s="36" t="n">
        <x:v>336.81</x:v>
      </x:c>
      <x:c r="R46" s="36" t="n">
        <x:v>204</x:v>
      </x:c>
      <x:c r="S46" s="36" t="n">
        <x:v>132.81</x:v>
      </x:c>
      <x:c r="T46" s="36" t="n">
        <x:v>336.81</x:v>
      </x:c>
      <x:c r="U46" s="38" t="n">
        <x:v>0.3943</x:v>
      </x:c>
    </x:row>
    <x:row r="47">
      <x:c r="A47" s="34" t="n">
        <x:v>46</x:v>
      </x:c>
      <x:c r="B47" s="34" t="n">
        <x:v>3</x:v>
      </x:c>
      <x:c r="C47" t="str">
        <x:v>Matheus Almeida</x:v>
      </x:c>
      <x:c r="D47" s="32" t="n">
        <x:v>46132</x:v>
      </x:c>
      <x:c r="E47" t="str">
        <x:v>2026-04</x:v>
      </x:c>
      <x:c r="F47" s="34" t="n">
        <x:v>4</x:v>
      </x:c>
      <x:c r="G47" t="str">
        <x:v>ENTREGUE</x:v>
      </x:c>
      <x:c r="H47" t="str">
        <x:v>WhatsApp</x:v>
      </x:c>
      <x:c r="I47" t="str">
        <x:v>Cartão crédito</x:v>
      </x:c>
      <x:c r="J47" s="36" t="n">
        <x:v>27.3</x:v>
      </x:c>
      <x:c r="K47" s="34" t="n">
        <x:v>8</x:v>
      </x:c>
      <x:c r="L47" t="str"/>
      <x:c r="M47" s="34" t="n">
        <x:v>1</x:v>
      </x:c>
      <x:c r="N47" s="34" t="n">
        <x:v>1</x:v>
      </x:c>
      <x:c r="O47" s="36" t="n">
        <x:v>289.9</x:v>
      </x:c>
      <x:c r="P47" s="36" t="n">
        <x:v>0</x:v>
      </x:c>
      <x:c r="Q47" s="36" t="n">
        <x:v>289.9</x:v>
      </x:c>
      <x:c r="R47" s="36" t="n">
        <x:v>182</x:v>
      </x:c>
      <x:c r="S47" s="36" t="n">
        <x:v>107.9</x:v>
      </x:c>
      <x:c r="T47" s="36" t="n">
        <x:v>289.9</x:v>
      </x:c>
      <x:c r="U47" s="38" t="n">
        <x:v>0.3722</x:v>
      </x:c>
    </x:row>
    <x:row r="48">
      <x:c r="A48" s="34" t="n">
        <x:v>47</x:v>
      </x:c>
      <x:c r="B48" s="34" t="n">
        <x:v>31</x:v>
      </x:c>
      <x:c r="C48" t="str">
        <x:v>Tatiane Lima</x:v>
      </x:c>
      <x:c r="D48" s="32" t="n">
        <x:v>46175</x:v>
      </x:c>
      <x:c r="E48" t="str">
        <x:v>2026-06</x:v>
      </x:c>
      <x:c r="F48" s="34" t="n">
        <x:v>4</x:v>
      </x:c>
      <x:c r="G48" t="str">
        <x:v>ENTREGUE</x:v>
      </x:c>
      <x:c r="H48" t="str">
        <x:v>WhatsApp</x:v>
      </x:c>
      <x:c r="I48" t="str">
        <x:v>Pix</x:v>
      </x:c>
      <x:c r="J48" s="36" t="n">
        <x:v>25.26</x:v>
      </x:c>
      <x:c r="K48" s="34" t="n">
        <x:v>5</x:v>
      </x:c>
      <x:c r="L48" t="str"/>
      <x:c r="M48" s="34" t="n">
        <x:v>3</x:v>
      </x:c>
      <x:c r="N48" s="34" t="n">
        <x:v>3</x:v>
      </x:c>
      <x:c r="O48" s="36" t="n">
        <x:v>819.7</x:v>
      </x:c>
      <x:c r="P48" s="36" t="n">
        <x:v>48.98</x:v>
      </x:c>
      <x:c r="Q48" s="36" t="n">
        <x:v>770.72</x:v>
      </x:c>
      <x:c r="R48" s="36" t="n">
        <x:v>499</x:v>
      </x:c>
      <x:c r="S48" s="36" t="n">
        <x:v>271.72</x:v>
      </x:c>
      <x:c r="T48" s="36" t="n">
        <x:v>770.72</x:v>
      </x:c>
      <x:c r="U48" s="38" t="n">
        <x:v>0.3526</x:v>
      </x:c>
    </x:row>
    <x:row r="49">
      <x:c r="A49" s="34" t="n">
        <x:v>48</x:v>
      </x:c>
      <x:c r="B49" s="34" t="n">
        <x:v>34</x:v>
      </x:c>
      <x:c r="C49" t="str">
        <x:v>Vitor Martins</x:v>
      </x:c>
      <x:c r="D49" s="32" t="n">
        <x:v>46159</x:v>
      </x:c>
      <x:c r="E49" t="str">
        <x:v>2026-05</x:v>
      </x:c>
      <x:c r="F49" s="34" t="n">
        <x:v>4</x:v>
      </x:c>
      <x:c r="G49" t="str">
        <x:v>ENTREGUE</x:v>
      </x:c>
      <x:c r="H49" t="str">
        <x:v>Marketplace</x:v>
      </x:c>
      <x:c r="I49" t="str">
        <x:v>Pix</x:v>
      </x:c>
      <x:c r="J49" s="36" t="n">
        <x:v>34.49</x:v>
      </x:c>
      <x:c r="K49" s="34" t="n">
        <x:v>7</x:v>
      </x:c>
      <x:c r="L49" t="str"/>
      <x:c r="M49" s="34" t="n">
        <x:v>5</x:v>
      </x:c>
      <x:c r="N49" s="34" t="n">
        <x:v>3</x:v>
      </x:c>
      <x:c r="O49" s="36" t="n">
        <x:v>959.5</x:v>
      </x:c>
      <x:c r="P49" s="36" t="n">
        <x:v>0</x:v>
      </x:c>
      <x:c r="Q49" s="36" t="n">
        <x:v>959.5</x:v>
      </x:c>
      <x:c r="R49" s="36" t="n">
        <x:v>623</x:v>
      </x:c>
      <x:c r="S49" s="36" t="n">
        <x:v>336.5</x:v>
      </x:c>
      <x:c r="T49" s="36" t="n">
        <x:v>959.5</x:v>
      </x:c>
      <x:c r="U49" s="38" t="n">
        <x:v>0.3507</x:v>
      </x:c>
    </x:row>
    <x:row r="50">
      <x:c r="A50" s="34" t="n">
        <x:v>49</x:v>
      </x:c>
      <x:c r="B50" s="34" t="n">
        <x:v>60</x:v>
      </x:c>
      <x:c r="C50" t="str">
        <x:v>Mariana Araujo</x:v>
      </x:c>
      <x:c r="D50" s="32" t="n">
        <x:v>46174</x:v>
      </x:c>
      <x:c r="E50" t="str">
        <x:v>2026-06</x:v>
      </x:c>
      <x:c r="F50" s="34" t="n">
        <x:v>1</x:v>
      </x:c>
      <x:c r="G50" t="str">
        <x:v>PENDENTE</x:v>
      </x:c>
      <x:c r="H50" t="str">
        <x:v>Site</x:v>
      </x:c>
      <x:c r="I50" t="str">
        <x:v>Cartão crédito</x:v>
      </x:c>
      <x:c r="J50" s="36" t="n">
        <x:v>60.2</x:v>
      </x:c>
      <x:c r="K50" s="34"/>
      <x:c r="L50" t="str"/>
      <x:c r="M50" s="34" t="n">
        <x:v>2</x:v>
      </x:c>
      <x:c r="N50" s="34" t="n">
        <x:v>1</x:v>
      </x:c>
      <x:c r="O50" s="36" t="n">
        <x:v>1599.8</x:v>
      </x:c>
      <x:c r="P50" s="36" t="n">
        <x:v>80</x:v>
      </x:c>
      <x:c r="Q50" s="36" t="n">
        <x:v>1519.8</x:v>
      </x:c>
      <x:c r="R50" s="36" t="n">
        <x:v>1224</x:v>
      </x:c>
      <x:c r="S50" s="36" t="n">
        <x:v>295.8</x:v>
      </x:c>
      <x:c r="T50" s="36" t="n">
        <x:v>1519.8</x:v>
      </x:c>
      <x:c r="U50" s="38" t="n">
        <x:v>0.1946</x:v>
      </x:c>
    </x:row>
    <x:row r="51">
      <x:c r="A51" s="34" t="n">
        <x:v>50</x:v>
      </x:c>
      <x:c r="B51" s="34" t="n">
        <x:v>40</x:v>
      </x:c>
      <x:c r="C51" t="str">
        <x:v>Samuel Araujo</x:v>
      </x:c>
      <x:c r="D51" s="32" t="n">
        <x:v>46170</x:v>
      </x:c>
      <x:c r="E51" t="str">
        <x:v>2026-05</x:v>
      </x:c>
      <x:c r="F51" s="34" t="n">
        <x:v>4</x:v>
      </x:c>
      <x:c r="G51" t="str">
        <x:v>ENTREGUE</x:v>
      </x:c>
      <x:c r="H51" t="str">
        <x:v>Indicação</x:v>
      </x:c>
      <x:c r="I51" t="str">
        <x:v>Cartão crédito</x:v>
      </x:c>
      <x:c r="J51" s="36" t="n">
        <x:v>38.92</x:v>
      </x:c>
      <x:c r="K51" s="34" t="n">
        <x:v>1</x:v>
      </x:c>
      <x:c r="L51" t="str"/>
      <x:c r="M51" s="34" t="n">
        <x:v>1</x:v>
      </x:c>
      <x:c r="N51" s="34" t="n">
        <x:v>1</x:v>
      </x:c>
      <x:c r="O51" s="36" t="n">
        <x:v>89.9</x:v>
      </x:c>
      <x:c r="P51" s="36" t="n">
        <x:v>0</x:v>
      </x:c>
      <x:c r="Q51" s="36" t="n">
        <x:v>89.9</x:v>
      </x:c>
      <x:c r="R51" s="36" t="n">
        <x:v>48</x:v>
      </x:c>
      <x:c r="S51" s="36" t="n">
        <x:v>41.9</x:v>
      </x:c>
      <x:c r="T51" s="36" t="n">
        <x:v>89.9</x:v>
      </x:c>
      <x:c r="U51" s="38" t="n">
        <x:v>0.4661</x:v>
      </x:c>
    </x:row>
    <x:row r="52">
      <x:c r="A52" s="34" t="n">
        <x:v>51</x:v>
      </x:c>
      <x:c r="B52" s="34" t="n">
        <x:v>4</x:v>
      </x:c>
      <x:c r="C52" t="str">
        <x:v>Letícia Santos</x:v>
      </x:c>
      <x:c r="D52" s="32" t="n">
        <x:v>46052</x:v>
      </x:c>
      <x:c r="E52" t="str">
        <x:v>2026-01</x:v>
      </x:c>
      <x:c r="F52" s="34" t="n">
        <x:v>4</x:v>
      </x:c>
      <x:c r="G52" t="str">
        <x:v>ENTREGUE</x:v>
      </x:c>
      <x:c r="H52" t="str">
        <x:v>Site</x:v>
      </x:c>
      <x:c r="I52" t="str">
        <x:v>Cartão crédito</x:v>
      </x:c>
      <x:c r="J52" s="36" t="n">
        <x:v>25.67</x:v>
      </x:c>
      <x:c r="K52" s="34" t="n">
        <x:v>6</x:v>
      </x:c>
      <x:c r="L52" t="str"/>
      <x:c r="M52" s="34" t="n">
        <x:v>1</x:v>
      </x:c>
      <x:c r="N52" s="34" t="n">
        <x:v>1</x:v>
      </x:c>
      <x:c r="O52" s="36" t="n">
        <x:v>319.9</x:v>
      </x:c>
      <x:c r="P52" s="36" t="n">
        <x:v>9.6</x:v>
      </x:c>
      <x:c r="Q52" s="36" t="n">
        <x:v>310.3</x:v>
      </x:c>
      <x:c r="R52" s="36" t="n">
        <x:v>198</x:v>
      </x:c>
      <x:c r="S52" s="36" t="n">
        <x:v>112.3</x:v>
      </x:c>
      <x:c r="T52" s="36" t="n">
        <x:v>310.3</x:v>
      </x:c>
      <x:c r="U52" s="38" t="n">
        <x:v>0.3619</x:v>
      </x:c>
    </x:row>
    <x:row r="53">
      <x:c r="A53" s="34" t="n">
        <x:v>52</x:v>
      </x:c>
      <x:c r="B53" s="34" t="n">
        <x:v>19</x:v>
      </x:c>
      <x:c r="C53" t="str">
        <x:v>Sofia Nascimento</x:v>
      </x:c>
      <x:c r="D53" s="32" t="n">
        <x:v>46116</x:v>
      </x:c>
      <x:c r="E53" t="str">
        <x:v>2026-04</x:v>
      </x:c>
      <x:c r="F53" s="34" t="n">
        <x:v>4</x:v>
      </x:c>
      <x:c r="G53" t="str">
        <x:v>ENTREGUE</x:v>
      </x:c>
      <x:c r="H53" t="str">
        <x:v>Site</x:v>
      </x:c>
      <x:c r="I53" t="str">
        <x:v>Boleto</x:v>
      </x:c>
      <x:c r="J53" s="36" t="n">
        <x:v>18.91</x:v>
      </x:c>
      <x:c r="K53" s="34" t="n">
        <x:v>4</x:v>
      </x:c>
      <x:c r="L53" t="str"/>
      <x:c r="M53" s="34" t="n">
        <x:v>1</x:v>
      </x:c>
      <x:c r="N53" s="34" t="n">
        <x:v>1</x:v>
      </x:c>
      <x:c r="O53" s="36" t="n">
        <x:v>179.9</x:v>
      </x:c>
      <x:c r="P53" s="36" t="n">
        <x:v>5.4</x:v>
      </x:c>
      <x:c r="Q53" s="36" t="n">
        <x:v>174.5</x:v>
      </x:c>
      <x:c r="R53" s="36" t="n">
        <x:v>107</x:v>
      </x:c>
      <x:c r="S53" s="36" t="n">
        <x:v>67.5</x:v>
      </x:c>
      <x:c r="T53" s="36" t="n">
        <x:v>174.5</x:v>
      </x:c>
      <x:c r="U53" s="38" t="n">
        <x:v>0.3868</x:v>
      </x:c>
    </x:row>
    <x:row r="54">
      <x:c r="A54" s="34" t="n">
        <x:v>53</x:v>
      </x:c>
      <x:c r="B54" s="34" t="n">
        <x:v>33</x:v>
      </x:c>
      <x:c r="C54" t="str">
        <x:v>Isabela Oliveira</x:v>
      </x:c>
      <x:c r="D54" s="32" t="n">
        <x:v>46039</x:v>
      </x:c>
      <x:c r="E54" t="str">
        <x:v>2026-01</x:v>
      </x:c>
      <x:c r="F54" s="34" t="n">
        <x:v>4</x:v>
      </x:c>
      <x:c r="G54" t="str">
        <x:v>ENTREGUE</x:v>
      </x:c>
      <x:c r="H54" t="str">
        <x:v>Site</x:v>
      </x:c>
      <x:c r="I54" t="str">
        <x:v>Pix</x:v>
      </x:c>
      <x:c r="J54" s="36" t="n">
        <x:v>27.28</x:v>
      </x:c>
      <x:c r="K54" s="34" t="n">
        <x:v>8</x:v>
      </x:c>
      <x:c r="L54" t="str"/>
      <x:c r="M54" s="34" t="n">
        <x:v>6</x:v>
      </x:c>
      <x:c r="N54" s="34" t="n">
        <x:v>2</x:v>
      </x:c>
      <x:c r="O54" s="36" t="n">
        <x:v>809.4</x:v>
      </x:c>
      <x:c r="P54" s="36" t="n">
        <x:v>33.27</x:v>
      </x:c>
      <x:c r="Q54" s="36" t="n">
        <x:v>776.13</x:v>
      </x:c>
      <x:c r="R54" s="36" t="n">
        <x:v>393</x:v>
      </x:c>
      <x:c r="S54" s="36" t="n">
        <x:v>383.13</x:v>
      </x:c>
      <x:c r="T54" s="36" t="n">
        <x:v>776.13</x:v>
      </x:c>
      <x:c r="U54" s="38" t="n">
        <x:v>0.4936</x:v>
      </x:c>
    </x:row>
    <x:row r="55">
      <x:c r="A55" s="34" t="n">
        <x:v>54</x:v>
      </x:c>
      <x:c r="B55" s="34" t="n">
        <x:v>3</x:v>
      </x:c>
      <x:c r="C55" t="str">
        <x:v>Matheus Almeida</x:v>
      </x:c>
      <x:c r="D55" s="32" t="n">
        <x:v>46174</x:v>
      </x:c>
      <x:c r="E55" t="str">
        <x:v>2026-06</x:v>
      </x:c>
      <x:c r="F55" s="34" t="n">
        <x:v>4</x:v>
      </x:c>
      <x:c r="G55" t="str">
        <x:v>ENTREGUE</x:v>
      </x:c>
      <x:c r="H55" t="str">
        <x:v>Indicação</x:v>
      </x:c>
      <x:c r="I55" t="str">
        <x:v>Cartão crédito</x:v>
      </x:c>
      <x:c r="J55" s="36" t="n">
        <x:v>34.33</x:v>
      </x:c>
      <x:c r="K55" s="34" t="n">
        <x:v>2</x:v>
      </x:c>
      <x:c r="L55" t="str"/>
      <x:c r="M55" s="34" t="n">
        <x:v>1</x:v>
      </x:c>
      <x:c r="N55" s="34" t="n">
        <x:v>1</x:v>
      </x:c>
      <x:c r="O55" s="36" t="n">
        <x:v>29.9</x:v>
      </x:c>
      <x:c r="P55" s="36" t="n">
        <x:v>0</x:v>
      </x:c>
      <x:c r="Q55" s="36" t="n">
        <x:v>29.9</x:v>
      </x:c>
      <x:c r="R55" s="36" t="n">
        <x:v>10</x:v>
      </x:c>
      <x:c r="S55" s="36" t="n">
        <x:v>19.9</x:v>
      </x:c>
      <x:c r="T55" s="36" t="n">
        <x:v>29.9</x:v>
      </x:c>
      <x:c r="U55" s="38" t="n">
        <x:v>0.6656</x:v>
      </x:c>
    </x:row>
    <x:row r="56">
      <x:c r="A56" s="34" t="n">
        <x:v>55</x:v>
      </x:c>
      <x:c r="B56" s="34" t="n">
        <x:v>30</x:v>
      </x:c>
      <x:c r="C56" t="str">
        <x:v>Renan Souza</x:v>
      </x:c>
      <x:c r="D56" s="32" t="n">
        <x:v>46108</x:v>
      </x:c>
      <x:c r="E56" t="str">
        <x:v>2026-03</x:v>
      </x:c>
      <x:c r="F56" s="34" t="n">
        <x:v>4</x:v>
      </x:c>
      <x:c r="G56" t="str">
        <x:v>ENTREGUE</x:v>
      </x:c>
      <x:c r="H56" t="str">
        <x:v>Marketplace</x:v>
      </x:c>
      <x:c r="I56" t="str">
        <x:v>Cartão crédito</x:v>
      </x:c>
      <x:c r="J56" s="36" t="n">
        <x:v>12</x:v>
      </x:c>
      <x:c r="K56" s="34" t="n">
        <x:v>4</x:v>
      </x:c>
      <x:c r="L56" t="str"/>
      <x:c r="M56" s="34" t="n">
        <x:v>2</x:v>
      </x:c>
      <x:c r="N56" s="34" t="n">
        <x:v>1</x:v>
      </x:c>
      <x:c r="O56" s="36" t="n">
        <x:v>399.8</x:v>
      </x:c>
      <x:c r="P56" s="36" t="n">
        <x:v>0</x:v>
      </x:c>
      <x:c r="Q56" s="36" t="n">
        <x:v>399.8</x:v>
      </x:c>
      <x:c r="R56" s="36" t="n">
        <x:v>224</x:v>
      </x:c>
      <x:c r="S56" s="36" t="n">
        <x:v>175.8</x:v>
      </x:c>
      <x:c r="T56" s="36" t="n">
        <x:v>399.8</x:v>
      </x:c>
      <x:c r="U56" s="38" t="n">
        <x:v>0.4397</x:v>
      </x:c>
    </x:row>
    <x:row r="57">
      <x:c r="A57" s="34" t="n">
        <x:v>56</x:v>
      </x:c>
      <x:c r="B57" s="34" t="n">
        <x:v>42</x:v>
      </x:c>
      <x:c r="C57" t="str">
        <x:v>Diego Rodrigues</x:v>
      </x:c>
      <x:c r="D57" s="32" t="n">
        <x:v>46064</x:v>
      </x:c>
      <x:c r="E57" t="str">
        <x:v>2026-02</x:v>
      </x:c>
      <x:c r="F57" s="34" t="n">
        <x:v>1</x:v>
      </x:c>
      <x:c r="G57" t="str">
        <x:v>PENDENTE</x:v>
      </x:c>
      <x:c r="H57" t="str">
        <x:v>Indicação</x:v>
      </x:c>
      <x:c r="I57" t="str">
        <x:v>Pix</x:v>
      </x:c>
      <x:c r="J57" s="36" t="n">
        <x:v>42.26</x:v>
      </x:c>
      <x:c r="K57" s="34"/>
      <x:c r="L57" t="str"/>
      <x:c r="M57" s="34" t="n">
        <x:v>1</x:v>
      </x:c>
      <x:c r="N57" s="34" t="n">
        <x:v>1</x:v>
      </x:c>
      <x:c r="O57" s="36" t="n">
        <x:v>29.9</x:v>
      </x:c>
      <x:c r="P57" s="36" t="n">
        <x:v>0</x:v>
      </x:c>
      <x:c r="Q57" s="36" t="n">
        <x:v>29.9</x:v>
      </x:c>
      <x:c r="R57" s="36" t="n">
        <x:v>10</x:v>
      </x:c>
      <x:c r="S57" s="36" t="n">
        <x:v>19.9</x:v>
      </x:c>
      <x:c r="T57" s="36" t="n">
        <x:v>29.9</x:v>
      </x:c>
      <x:c r="U57" s="38" t="n">
        <x:v>0.6656</x:v>
      </x:c>
    </x:row>
    <x:row r="58">
      <x:c r="A58" s="34" t="n">
        <x:v>57</x:v>
      </x:c>
      <x:c r="B58" s="34" t="n">
        <x:v>48</x:v>
      </x:c>
      <x:c r="C58" t="str">
        <x:v>Caio Rodrigues</x:v>
      </x:c>
      <x:c r="D58" s="32" t="n">
        <x:v>46051</x:v>
      </x:c>
      <x:c r="E58" t="str">
        <x:v>2026-01</x:v>
      </x:c>
      <x:c r="F58" s="34" t="n">
        <x:v>4</x:v>
      </x:c>
      <x:c r="G58" t="str">
        <x:v>ENTREGUE</x:v>
      </x:c>
      <x:c r="H58" t="str">
        <x:v>Site</x:v>
      </x:c>
      <x:c r="I58" t="str">
        <x:v>Cartão crédito</x:v>
      </x:c>
      <x:c r="J58" s="36" t="n">
        <x:v>27.57</x:v>
      </x:c>
      <x:c r="K58" s="34" t="n">
        <x:v>3</x:v>
      </x:c>
      <x:c r="L58" t="str"/>
      <x:c r="M58" s="34" t="n">
        <x:v>1</x:v>
      </x:c>
      <x:c r="N58" s="34" t="n">
        <x:v>1</x:v>
      </x:c>
      <x:c r="O58" s="36" t="n">
        <x:v>139.9</x:v>
      </x:c>
      <x:c r="P58" s="36" t="n">
        <x:v>0</x:v>
      </x:c>
      <x:c r="Q58" s="36" t="n">
        <x:v>139.9</x:v>
      </x:c>
      <x:c r="R58" s="36" t="n">
        <x:v>69</x:v>
      </x:c>
      <x:c r="S58" s="36" t="n">
        <x:v>70.9</x:v>
      </x:c>
      <x:c r="T58" s="36" t="n">
        <x:v>139.9</x:v>
      </x:c>
      <x:c r="U58" s="38" t="n">
        <x:v>0.5068</x:v>
      </x:c>
    </x:row>
    <x:row r="59">
      <x:c r="A59" s="34" t="n">
        <x:v>58</x:v>
      </x:c>
      <x:c r="B59" s="34" t="n">
        <x:v>28</x:v>
      </x:c>
      <x:c r="C59" t="str">
        <x:v>Gabriela Silva</x:v>
      </x:c>
      <x:c r="D59" s="32" t="n">
        <x:v>46113</x:v>
      </x:c>
      <x:c r="E59" t="str">
        <x:v>2026-04</x:v>
      </x:c>
      <x:c r="F59" s="34" t="n">
        <x:v>4</x:v>
      </x:c>
      <x:c r="G59" t="str">
        <x:v>ENTREGUE</x:v>
      </x:c>
      <x:c r="H59" t="str">
        <x:v>Instagram</x:v>
      </x:c>
      <x:c r="I59" t="str">
        <x:v>Cartão crédito</x:v>
      </x:c>
      <x:c r="J59" s="36" t="n">
        <x:v>25.86</x:v>
      </x:c>
      <x:c r="K59" s="34" t="n">
        <x:v>7</x:v>
      </x:c>
      <x:c r="L59" t="str"/>
      <x:c r="M59" s="34" t="n">
        <x:v>2</x:v>
      </x:c>
      <x:c r="N59" s="34" t="n">
        <x:v>2</x:v>
      </x:c>
      <x:c r="O59" s="36" t="n">
        <x:v>509.8</x:v>
      </x:c>
      <x:c r="P59" s="36" t="n">
        <x:v>20.79</x:v>
      </x:c>
      <x:c r="Q59" s="36" t="n">
        <x:v>489.01</x:v>
      </x:c>
      <x:c r="R59" s="36" t="n">
        <x:v>303</x:v>
      </x:c>
      <x:c r="S59" s="36" t="n">
        <x:v>186.01</x:v>
      </x:c>
      <x:c r="T59" s="36" t="n">
        <x:v>489.01</x:v>
      </x:c>
      <x:c r="U59" s="38" t="n">
        <x:v>0.3804</x:v>
      </x:c>
    </x:row>
    <x:row r="60">
      <x:c r="A60" s="34" t="n">
        <x:v>59</x:v>
      </x:c>
      <x:c r="B60" s="34" t="n">
        <x:v>28</x:v>
      </x:c>
      <x:c r="C60" t="str">
        <x:v>Gabriela Silva</x:v>
      </x:c>
      <x:c r="D60" s="32" t="n">
        <x:v>46089</x:v>
      </x:c>
      <x:c r="E60" t="str">
        <x:v>2026-03</x:v>
      </x:c>
      <x:c r="F60" s="34" t="n">
        <x:v>4</x:v>
      </x:c>
      <x:c r="G60" t="str">
        <x:v>ENTREGUE</x:v>
      </x:c>
      <x:c r="H60" t="str">
        <x:v>Site</x:v>
      </x:c>
      <x:c r="I60" t="str">
        <x:v>Cartão débito</x:v>
      </x:c>
      <x:c r="J60" s="36" t="n">
        <x:v>23.98</x:v>
      </x:c>
      <x:c r="K60" s="34" t="n">
        <x:v>3</x:v>
      </x:c>
      <x:c r="L60" t="str"/>
      <x:c r="M60" s="34" t="n">
        <x:v>1</x:v>
      </x:c>
      <x:c r="N60" s="34" t="n">
        <x:v>1</x:v>
      </x:c>
      <x:c r="O60" s="36" t="n">
        <x:v>139.9</x:v>
      </x:c>
      <x:c r="P60" s="36" t="n">
        <x:v>13.99</x:v>
      </x:c>
      <x:c r="Q60" s="36" t="n">
        <x:v>125.91</x:v>
      </x:c>
      <x:c r="R60" s="36" t="n">
        <x:v>69</x:v>
      </x:c>
      <x:c r="S60" s="36" t="n">
        <x:v>56.91</x:v>
      </x:c>
      <x:c r="T60" s="36" t="n">
        <x:v>125.91</x:v>
      </x:c>
      <x:c r="U60" s="38" t="n">
        <x:v>0.452</x:v>
      </x:c>
    </x:row>
    <x:row r="61">
      <x:c r="A61" s="34" t="n">
        <x:v>60</x:v>
      </x:c>
      <x:c r="B61" s="34" t="n">
        <x:v>39</x:v>
      </x:c>
      <x:c r="C61" t="str">
        <x:v>Eduarda Silva</x:v>
      </x:c>
      <x:c r="D61" s="32" t="n">
        <x:v>46083</x:v>
      </x:c>
      <x:c r="E61" t="str">
        <x:v>2026-03</x:v>
      </x:c>
      <x:c r="F61" s="34" t="n">
        <x:v>3</x:v>
      </x:c>
      <x:c r="G61" t="str">
        <x:v>ENVIADO</x:v>
      </x:c>
      <x:c r="H61" t="str">
        <x:v>Site</x:v>
      </x:c>
      <x:c r="I61" t="str">
        <x:v>Pix</x:v>
      </x:c>
      <x:c r="J61" s="36" t="n">
        <x:v>35.17</x:v>
      </x:c>
      <x:c r="K61" s="34" t="n">
        <x:v>2</x:v>
      </x:c>
      <x:c r="L61" t="str"/>
      <x:c r="M61" s="34" t="n">
        <x:v>2</x:v>
      </x:c>
      <x:c r="N61" s="34" t="n">
        <x:v>2</x:v>
      </x:c>
      <x:c r="O61" s="36" t="n">
        <x:v>239.8</x:v>
      </x:c>
      <x:c r="P61" s="36" t="n">
        <x:v>0</x:v>
      </x:c>
      <x:c r="Q61" s="36" t="n">
        <x:v>239.8</x:v>
      </x:c>
      <x:c r="R61" s="36" t="n">
        <x:v>121</x:v>
      </x:c>
      <x:c r="S61" s="36" t="n">
        <x:v>118.8</x:v>
      </x:c>
      <x:c r="T61" s="36" t="n">
        <x:v>239.8</x:v>
      </x:c>
      <x:c r="U61" s="38" t="n">
        <x:v>0.4954</x:v>
      </x:c>
    </x:row>
    <x:row r="62">
      <x:c r="A62" s="34" t="n">
        <x:v>61</x:v>
      </x:c>
      <x:c r="B62" s="34" t="n">
        <x:v>24</x:v>
      </x:c>
      <x:c r="C62" t="str">
        <x:v>Gabriela Nascimento</x:v>
      </x:c>
      <x:c r="D62" s="32" t="n">
        <x:v>46165</x:v>
      </x:c>
      <x:c r="E62" t="str">
        <x:v>2026-05</x:v>
      </x:c>
      <x:c r="F62" s="34" t="n">
        <x:v>3</x:v>
      </x:c>
      <x:c r="G62" t="str">
        <x:v>ENVIADO</x:v>
      </x:c>
      <x:c r="H62" t="str">
        <x:v>Site</x:v>
      </x:c>
      <x:c r="I62" t="str">
        <x:v>Cartão crédito</x:v>
      </x:c>
      <x:c r="J62" s="36" t="n">
        <x:v>30.63</x:v>
      </x:c>
      <x:c r="K62" s="34" t="n">
        <x:v>1</x:v>
      </x:c>
      <x:c r="L62" t="str"/>
      <x:c r="M62" s="34" t="n">
        <x:v>1</x:v>
      </x:c>
      <x:c r="N62" s="34" t="n">
        <x:v>1</x:v>
      </x:c>
      <x:c r="O62" s="36" t="n">
        <x:v>319.9</x:v>
      </x:c>
      <x:c r="P62" s="36" t="n">
        <x:v>0</x:v>
      </x:c>
      <x:c r="Q62" s="36" t="n">
        <x:v>319.9</x:v>
      </x:c>
      <x:c r="R62" s="36" t="n">
        <x:v>198</x:v>
      </x:c>
      <x:c r="S62" s="36" t="n">
        <x:v>121.9</x:v>
      </x:c>
      <x:c r="T62" s="36" t="n">
        <x:v>319.9</x:v>
      </x:c>
      <x:c r="U62" s="38" t="n">
        <x:v>0.3811</x:v>
      </x:c>
    </x:row>
    <x:row r="63">
      <x:c r="A63" s="34" t="n">
        <x:v>62</x:v>
      </x:c>
      <x:c r="B63" s="34" t="n">
        <x:v>29</x:v>
      </x:c>
      <x:c r="C63" t="str">
        <x:v>Thiago Carvalho</x:v>
      </x:c>
      <x:c r="D63" s="32" t="n">
        <x:v>46068</x:v>
      </x:c>
      <x:c r="E63" t="str">
        <x:v>2026-02</x:v>
      </x:c>
      <x:c r="F63" s="34" t="n">
        <x:v>4</x:v>
      </x:c>
      <x:c r="G63" t="str">
        <x:v>ENTREGUE</x:v>
      </x:c>
      <x:c r="H63" t="str">
        <x:v>Marketplace</x:v>
      </x:c>
      <x:c r="I63" t="str">
        <x:v>Pix</x:v>
      </x:c>
      <x:c r="J63" s="36" t="n">
        <x:v>34.16</x:v>
      </x:c>
      <x:c r="K63" s="34" t="n">
        <x:v>6</x:v>
      </x:c>
      <x:c r="L63" t="str"/>
      <x:c r="M63" s="34" t="n">
        <x:v>1</x:v>
      </x:c>
      <x:c r="N63" s="34" t="n">
        <x:v>1</x:v>
      </x:c>
      <x:c r="O63" s="36" t="n">
        <x:v>179.9</x:v>
      </x:c>
      <x:c r="P63" s="36" t="n">
        <x:v>8.99</x:v>
      </x:c>
      <x:c r="Q63" s="36" t="n">
        <x:v>170.91</x:v>
      </x:c>
      <x:c r="R63" s="36" t="n">
        <x:v>107</x:v>
      </x:c>
      <x:c r="S63" s="36" t="n">
        <x:v>63.91</x:v>
      </x:c>
      <x:c r="T63" s="36" t="n">
        <x:v>170.91</x:v>
      </x:c>
      <x:c r="U63" s="38" t="n">
        <x:v>0.3739</x:v>
      </x:c>
    </x:row>
    <x:row r="64">
      <x:c r="A64" s="34" t="n">
        <x:v>63</x:v>
      </x:c>
      <x:c r="B64" s="34" t="n">
        <x:v>52</x:v>
      </x:c>
      <x:c r="C64" t="str">
        <x:v>Henrique Gomes</x:v>
      </x:c>
      <x:c r="D64" s="32" t="n">
        <x:v>46090</x:v>
      </x:c>
      <x:c r="E64" t="str">
        <x:v>2026-03</x:v>
      </x:c>
      <x:c r="F64" s="34" t="n">
        <x:v>5</x:v>
      </x:c>
      <x:c r="G64" t="str">
        <x:v>CANCELADO</x:v>
      </x:c>
      <x:c r="H64" t="str">
        <x:v>WhatsApp</x:v>
      </x:c>
      <x:c r="I64" t="str">
        <x:v>Cartão crédito</x:v>
      </x:c>
      <x:c r="J64" s="36" t="n">
        <x:v>51.69</x:v>
      </x:c>
      <x:c r="K64" s="34"/>
      <x:c r="L64" t="str">
        <x:v>Falha na aprovação do pedido</x:v>
      </x:c>
      <x:c r="M64" s="34" t="n">
        <x:v>3</x:v>
      </x:c>
      <x:c r="N64" s="34" t="n">
        <x:v>2</x:v>
      </x:c>
      <x:c r="O64" s="36" t="n">
        <x:v>409.7</x:v>
      </x:c>
      <x:c r="P64" s="36" t="n">
        <x:v>0</x:v>
      </x:c>
      <x:c r="Q64" s="36" t="n">
        <x:v>0</x:v>
      </x:c>
      <x:c r="R64" s="36" t="n">
        <x:v>0</x:v>
      </x:c>
      <x:c r="S64" s="36" t="n">
        <x:v>0</x:v>
      </x:c>
      <x:c r="T64" s="36" t="n">
        <x:v>0</x:v>
      </x:c>
      <x:c r="U64" s="38" t="n">
        <x:v>0</x:v>
      </x:c>
    </x:row>
    <x:row r="65">
      <x:c r="A65" s="34" t="n">
        <x:v>64</x:v>
      </x:c>
      <x:c r="B65" s="34" t="n">
        <x:v>51</x:v>
      </x:c>
      <x:c r="C65" t="str">
        <x:v>Sofia Martins</x:v>
      </x:c>
      <x:c r="D65" s="32" t="n">
        <x:v>46132</x:v>
      </x:c>
      <x:c r="E65" t="str">
        <x:v>2026-04</x:v>
      </x:c>
      <x:c r="F65" s="34" t="n">
        <x:v>5</x:v>
      </x:c>
      <x:c r="G65" t="str">
        <x:v>CANCELADO</x:v>
      </x:c>
      <x:c r="H65" t="str">
        <x:v>WhatsApp</x:v>
      </x:c>
      <x:c r="I65" t="str">
        <x:v>Cartão crédito</x:v>
      </x:c>
      <x:c r="J65" s="36" t="n">
        <x:v>15.98</x:v>
      </x:c>
      <x:c r="K65" s="34"/>
      <x:c r="L65" t="str">
        <x:v>Erro de endereço</x:v>
      </x:c>
      <x:c r="M65" s="34" t="n">
        <x:v>3</x:v>
      </x:c>
      <x:c r="N65" s="34" t="n">
        <x:v>1</x:v>
      </x:c>
      <x:c r="O65" s="36" t="n">
        <x:v>749.7</x:v>
      </x:c>
      <x:c r="P65" s="36" t="n">
        <x:v>0</x:v>
      </x:c>
      <x:c r="Q65" s="36" t="n">
        <x:v>0</x:v>
      </x:c>
      <x:c r="R65" s="36" t="n">
        <x:v>0</x:v>
      </x:c>
      <x:c r="S65" s="36" t="n">
        <x:v>0</x:v>
      </x:c>
      <x:c r="T65" s="36" t="n">
        <x:v>0</x:v>
      </x:c>
      <x:c r="U65" s="38" t="n">
        <x:v>0</x:v>
      </x:c>
    </x:row>
    <x:row r="66">
      <x:c r="A66" s="34" t="n">
        <x:v>65</x:v>
      </x:c>
      <x:c r="B66" s="34" t="n">
        <x:v>5</x:v>
      </x:c>
      <x:c r="C66" t="str">
        <x:v>Olívia Gomes</x:v>
      </x:c>
      <x:c r="D66" s="32" t="n">
        <x:v>46176</x:v>
      </x:c>
      <x:c r="E66" t="str">
        <x:v>2026-06</x:v>
      </x:c>
      <x:c r="F66" s="34" t="n">
        <x:v>4</x:v>
      </x:c>
      <x:c r="G66" t="str">
        <x:v>ENTREGUE</x:v>
      </x:c>
      <x:c r="H66" t="str">
        <x:v>WhatsApp</x:v>
      </x:c>
      <x:c r="I66" t="str">
        <x:v>Pix</x:v>
      </x:c>
      <x:c r="J66" s="36" t="n">
        <x:v>34.91</x:v>
      </x:c>
      <x:c r="K66" s="34" t="n">
        <x:v>1</x:v>
      </x:c>
      <x:c r="L66" t="str"/>
      <x:c r="M66" s="34" t="n">
        <x:v>3</x:v>
      </x:c>
      <x:c r="N66" s="34" t="n">
        <x:v>1</x:v>
      </x:c>
      <x:c r="O66" s="36" t="n">
        <x:v>1289.7</x:v>
      </x:c>
      <x:c r="P66" s="36" t="n">
        <x:v>38.7</x:v>
      </x:c>
      <x:c r="Q66" s="36" t="n">
        <x:v>1251</x:v>
      </x:c>
      <x:c r="R66" s="36" t="n">
        <x:v>894</x:v>
      </x:c>
      <x:c r="S66" s="36" t="n">
        <x:v>357</x:v>
      </x:c>
      <x:c r="T66" s="36" t="n">
        <x:v>1251</x:v>
      </x:c>
      <x:c r="U66" s="38" t="n">
        <x:v>0.2854</x:v>
      </x:c>
    </x:row>
    <x:row r="67">
      <x:c r="A67" s="34" t="n">
        <x:v>66</x:v>
      </x:c>
      <x:c r="B67" s="34" t="n">
        <x:v>44</x:v>
      </x:c>
      <x:c r="C67" t="str">
        <x:v>Larissa Nascimento</x:v>
      </x:c>
      <x:c r="D67" s="32" t="n">
        <x:v>46165</x:v>
      </x:c>
      <x:c r="E67" t="str">
        <x:v>2026-05</x:v>
      </x:c>
      <x:c r="F67" s="34" t="n">
        <x:v>4</x:v>
      </x:c>
      <x:c r="G67" t="str">
        <x:v>ENTREGUE</x:v>
      </x:c>
      <x:c r="H67" t="str">
        <x:v>Instagram</x:v>
      </x:c>
      <x:c r="I67" t="str">
        <x:v>Cartão débito</x:v>
      </x:c>
      <x:c r="J67" s="36" t="n">
        <x:v>42.59</x:v>
      </x:c>
      <x:c r="K67" s="34" t="n">
        <x:v>6</x:v>
      </x:c>
      <x:c r="L67" t="str"/>
      <x:c r="M67" s="34" t="n">
        <x:v>3</x:v>
      </x:c>
      <x:c r="N67" s="34" t="n">
        <x:v>2</x:v>
      </x:c>
      <x:c r="O67" s="36" t="n">
        <x:v>369.7</x:v>
      </x:c>
      <x:c r="P67" s="36" t="n">
        <x:v>5.4</x:v>
      </x:c>
      <x:c r="Q67" s="36" t="n">
        <x:v>364.3</x:v>
      </x:c>
      <x:c r="R67" s="36" t="n">
        <x:v>199</x:v>
      </x:c>
      <x:c r="S67" s="36" t="n">
        <x:v>165.3</x:v>
      </x:c>
      <x:c r="T67" s="36" t="n">
        <x:v>364.3</x:v>
      </x:c>
      <x:c r="U67" s="38" t="n">
        <x:v>0.4537</x:v>
      </x:c>
    </x:row>
    <x:row r="68">
      <x:c r="A68" s="34" t="n">
        <x:v>67</x:v>
      </x:c>
      <x:c r="B68" s="34" t="n">
        <x:v>15</x:v>
      </x:c>
      <x:c r="C68" t="str">
        <x:v>Beatriz Araujo</x:v>
      </x:c>
      <x:c r="D68" s="32" t="n">
        <x:v>46166</x:v>
      </x:c>
      <x:c r="E68" t="str">
        <x:v>2026-05</x:v>
      </x:c>
      <x:c r="F68" s="34" t="n">
        <x:v>5</x:v>
      </x:c>
      <x:c r="G68" t="str">
        <x:v>CANCELADO</x:v>
      </x:c>
      <x:c r="H68" t="str">
        <x:v>Indicação</x:v>
      </x:c>
      <x:c r="I68" t="str">
        <x:v>Pix</x:v>
      </x:c>
      <x:c r="J68" s="36" t="n">
        <x:v>31.93</x:v>
      </x:c>
      <x:c r="K68" s="34"/>
      <x:c r="L68" t="str">
        <x:v>Produto indisponível</x:v>
      </x:c>
      <x:c r="M68" s="34" t="n">
        <x:v>1</x:v>
      </x:c>
      <x:c r="N68" s="34" t="n">
        <x:v>1</x:v>
      </x:c>
      <x:c r="O68" s="36" t="n">
        <x:v>139.9</x:v>
      </x:c>
      <x:c r="P68" s="36" t="n">
        <x:v>4.2</x:v>
      </x:c>
      <x:c r="Q68" s="36" t="n">
        <x:v>0</x:v>
      </x:c>
      <x:c r="R68" s="36" t="n">
        <x:v>0</x:v>
      </x:c>
      <x:c r="S68" s="36" t="n">
        <x:v>0</x:v>
      </x:c>
      <x:c r="T68" s="36" t="n">
        <x:v>0</x:v>
      </x:c>
      <x:c r="U68" s="38" t="n">
        <x:v>0</x:v>
      </x:c>
    </x:row>
    <x:row r="69">
      <x:c r="A69" s="34" t="n">
        <x:v>68</x:v>
      </x:c>
      <x:c r="B69" s="34" t="n">
        <x:v>42</x:v>
      </x:c>
      <x:c r="C69" t="str">
        <x:v>Diego Rodrigues</x:v>
      </x:c>
      <x:c r="D69" s="32" t="n">
        <x:v>46058</x:v>
      </x:c>
      <x:c r="E69" t="str">
        <x:v>2026-02</x:v>
      </x:c>
      <x:c r="F69" s="34" t="n">
        <x:v>2</x:v>
      </x:c>
      <x:c r="G69" t="str">
        <x:v>EM PROCESSAMENTO</x:v>
      </x:c>
      <x:c r="H69" t="str">
        <x:v>WhatsApp</x:v>
      </x:c>
      <x:c r="I69" t="str">
        <x:v>Cartão crédito</x:v>
      </x:c>
      <x:c r="J69" s="36" t="n">
        <x:v>50.46</x:v>
      </x:c>
      <x:c r="K69" s="34"/>
      <x:c r="L69" t="str"/>
      <x:c r="M69" s="34" t="n">
        <x:v>1</x:v>
      </x:c>
      <x:c r="N69" s="34" t="n">
        <x:v>1</x:v>
      </x:c>
      <x:c r="O69" s="36" t="n">
        <x:v>139.9</x:v>
      </x:c>
      <x:c r="P69" s="36" t="n">
        <x:v>11.19</x:v>
      </x:c>
      <x:c r="Q69" s="36" t="n">
        <x:v>128.71</x:v>
      </x:c>
      <x:c r="R69" s="36" t="n">
        <x:v>69</x:v>
      </x:c>
      <x:c r="S69" s="36" t="n">
        <x:v>59.71</x:v>
      </x:c>
      <x:c r="T69" s="36" t="n">
        <x:v>128.71</x:v>
      </x:c>
      <x:c r="U69" s="38" t="n">
        <x:v>0.4639</x:v>
      </x:c>
    </x:row>
    <x:row r="70">
      <x:c r="A70" s="34" t="n">
        <x:v>69</x:v>
      </x:c>
      <x:c r="B70" s="34" t="n">
        <x:v>53</x:v>
      </x:c>
      <x:c r="C70" t="str">
        <x:v>Carla Almeida</x:v>
      </x:c>
      <x:c r="D70" s="32" t="n">
        <x:v>46176</x:v>
      </x:c>
      <x:c r="E70" t="str">
        <x:v>2026-06</x:v>
      </x:c>
      <x:c r="F70" s="34" t="n">
        <x:v>4</x:v>
      </x:c>
      <x:c r="G70" t="str">
        <x:v>ENTREGUE</x:v>
      </x:c>
      <x:c r="H70" t="str">
        <x:v>WhatsApp</x:v>
      </x:c>
      <x:c r="I70" t="str">
        <x:v>Cartão crédito</x:v>
      </x:c>
      <x:c r="J70" s="36" t="n">
        <x:v>58.77</x:v>
      </x:c>
      <x:c r="K70" s="34" t="n">
        <x:v>5</x:v>
      </x:c>
      <x:c r="L70" t="str"/>
      <x:c r="M70" s="34" t="n">
        <x:v>3</x:v>
      </x:c>
      <x:c r="N70" s="34" t="n">
        <x:v>3</x:v>
      </x:c>
      <x:c r="O70" s="36" t="n">
        <x:v>1129.7</x:v>
      </x:c>
      <x:c r="P70" s="36" t="n">
        <x:v>11.19</x:v>
      </x:c>
      <x:c r="Q70" s="36" t="n">
        <x:v>1118.51</x:v>
      </x:c>
      <x:c r="R70" s="36" t="n">
        <x:v>782</x:v>
      </x:c>
      <x:c r="S70" s="36" t="n">
        <x:v>336.51</x:v>
      </x:c>
      <x:c r="T70" s="36" t="n">
        <x:v>1118.51</x:v>
      </x:c>
      <x:c r="U70" s="38" t="n">
        <x:v>0.3009</x:v>
      </x:c>
    </x:row>
    <x:row r="71">
      <x:c r="A71" s="34" t="n">
        <x:v>70</x:v>
      </x:c>
      <x:c r="B71" s="34" t="n">
        <x:v>11</x:v>
      </x:c>
      <x:c r="C71" t="str">
        <x:v>Felipe Martins</x:v>
      </x:c>
      <x:c r="D71" s="32" t="n">
        <x:v>46041</x:v>
      </x:c>
      <x:c r="E71" t="str">
        <x:v>2026-01</x:v>
      </x:c>
      <x:c r="F71" s="34" t="n">
        <x:v>4</x:v>
      </x:c>
      <x:c r="G71" t="str">
        <x:v>ENTREGUE</x:v>
      </x:c>
      <x:c r="H71" t="str">
        <x:v>WhatsApp</x:v>
      </x:c>
      <x:c r="I71" t="str">
        <x:v>Cartão crédito</x:v>
      </x:c>
      <x:c r="J71" s="36" t="n">
        <x:v>24.07</x:v>
      </x:c>
      <x:c r="K71" s="34" t="n">
        <x:v>7</x:v>
      </x:c>
      <x:c r="L71" t="str"/>
      <x:c r="M71" s="34" t="n">
        <x:v>4</x:v>
      </x:c>
      <x:c r="N71" s="34" t="n">
        <x:v>1</x:v>
      </x:c>
      <x:c r="O71" s="36" t="n">
        <x:v>599.6</x:v>
      </x:c>
      <x:c r="P71" s="36" t="n">
        <x:v>71.96</x:v>
      </x:c>
      <x:c r="Q71" s="36" t="n">
        <x:v>527.64</x:v>
      </x:c>
      <x:c r="R71" s="36" t="n">
        <x:v>292</x:v>
      </x:c>
      <x:c r="S71" s="36" t="n">
        <x:v>235.64</x:v>
      </x:c>
      <x:c r="T71" s="36" t="n">
        <x:v>527.64</x:v>
      </x:c>
      <x:c r="U71" s="38" t="n">
        <x:v>0.4466</x:v>
      </x:c>
    </x:row>
    <x:row r="72">
      <x:c r="A72" s="34" t="n">
        <x:v>71</x:v>
      </x:c>
      <x:c r="B72" s="34" t="n">
        <x:v>24</x:v>
      </x:c>
      <x:c r="C72" t="str">
        <x:v>Gabriela Nascimento</x:v>
      </x:c>
      <x:c r="D72" s="32" t="n">
        <x:v>46139</x:v>
      </x:c>
      <x:c r="E72" t="str">
        <x:v>2026-04</x:v>
      </x:c>
      <x:c r="F72" s="34" t="n">
        <x:v>3</x:v>
      </x:c>
      <x:c r="G72" t="str">
        <x:v>ENVIADO</x:v>
      </x:c>
      <x:c r="H72" t="str">
        <x:v>Site</x:v>
      </x:c>
      <x:c r="I72" t="str">
        <x:v>Cartão débito</x:v>
      </x:c>
      <x:c r="J72" s="36" t="n">
        <x:v>61.78</x:v>
      </x:c>
      <x:c r="K72" s="34" t="n">
        <x:v>4</x:v>
      </x:c>
      <x:c r="L72" t="str"/>
      <x:c r="M72" s="34" t="n">
        <x:v>5</x:v>
      </x:c>
      <x:c r="N72" s="34" t="n">
        <x:v>2</x:v>
      </x:c>
      <x:c r="O72" s="36" t="n">
        <x:v>249.5</x:v>
      </x:c>
      <x:c r="P72" s="36" t="n">
        <x:v>21.75</x:v>
      </x:c>
      <x:c r="Q72" s="36" t="n">
        <x:v>227.75</x:v>
      </x:c>
      <x:c r="R72" s="36" t="n">
        <x:v>116</x:v>
      </x:c>
      <x:c r="S72" s="36" t="n">
        <x:v>111.75</x:v>
      </x:c>
      <x:c r="T72" s="36" t="n">
        <x:v>227.75</x:v>
      </x:c>
      <x:c r="U72" s="38" t="n">
        <x:v>0.4907</x:v>
      </x:c>
    </x:row>
    <x:row r="73">
      <x:c r="A73" s="34" t="n">
        <x:v>72</x:v>
      </x:c>
      <x:c r="B73" s="34" t="n">
        <x:v>47</x:v>
      </x:c>
      <x:c r="C73" t="str">
        <x:v>Nicolas Santos</x:v>
      </x:c>
      <x:c r="D73" s="32" t="n">
        <x:v>46118</x:v>
      </x:c>
      <x:c r="E73" t="str">
        <x:v>2026-04</x:v>
      </x:c>
      <x:c r="F73" s="34" t="n">
        <x:v>5</x:v>
      </x:c>
      <x:c r="G73" t="str">
        <x:v>CANCELADO</x:v>
      </x:c>
      <x:c r="H73" t="str">
        <x:v>WhatsApp</x:v>
      </x:c>
      <x:c r="I73" t="str">
        <x:v>Pix</x:v>
      </x:c>
      <x:c r="J73" s="36" t="n">
        <x:v>20.83</x:v>
      </x:c>
      <x:c r="K73" s="34"/>
      <x:c r="L73" t="str">
        <x:v>Falta de estoque</x:v>
      </x:c>
      <x:c r="M73" s="34" t="n">
        <x:v>1</x:v>
      </x:c>
      <x:c r="N73" s="34" t="n">
        <x:v>1</x:v>
      </x:c>
      <x:c r="O73" s="36" t="n">
        <x:v>679.9</x:v>
      </x:c>
      <x:c r="P73" s="36" t="n">
        <x:v>0</x:v>
      </x:c>
      <x:c r="Q73" s="36" t="n">
        <x:v>0</x:v>
      </x:c>
      <x:c r="R73" s="36" t="n">
        <x:v>0</x:v>
      </x:c>
      <x:c r="S73" s="36" t="n">
        <x:v>0</x:v>
      </x:c>
      <x:c r="T73" s="36" t="n">
        <x:v>0</x:v>
      </x:c>
      <x:c r="U73" s="38" t="n">
        <x:v>0</x:v>
      </x:c>
    </x:row>
    <x:row r="74">
      <x:c r="A74" s="34" t="n">
        <x:v>73</x:v>
      </x:c>
      <x:c r="B74" s="34" t="n">
        <x:v>38</x:v>
      </x:c>
      <x:c r="C74" t="str">
        <x:v>Diego Santos</x:v>
      </x:c>
      <x:c r="D74" s="32" t="n">
        <x:v>46173</x:v>
      </x:c>
      <x:c r="E74" t="str">
        <x:v>2026-05</x:v>
      </x:c>
      <x:c r="F74" s="34" t="n">
        <x:v>3</x:v>
      </x:c>
      <x:c r="G74" t="str">
        <x:v>ENVIADO</x:v>
      </x:c>
      <x:c r="H74" t="str">
        <x:v>Marketplace</x:v>
      </x:c>
      <x:c r="I74" t="str">
        <x:v>Cartão crédito</x:v>
      </x:c>
      <x:c r="J74" s="36" t="n">
        <x:v>32.09</x:v>
      </x:c>
      <x:c r="K74" s="34" t="n">
        <x:v>1</x:v>
      </x:c>
      <x:c r="L74" t="str"/>
      <x:c r="M74" s="34" t="n">
        <x:v>2</x:v>
      </x:c>
      <x:c r="N74" s="34" t="n">
        <x:v>1</x:v>
      </x:c>
      <x:c r="O74" s="36" t="n">
        <x:v>99.8</x:v>
      </x:c>
      <x:c r="P74" s="36" t="n">
        <x:v>0</x:v>
      </x:c>
      <x:c r="Q74" s="36" t="n">
        <x:v>99.8</x:v>
      </x:c>
      <x:c r="R74" s="36" t="n">
        <x:v>50</x:v>
      </x:c>
      <x:c r="S74" s="36" t="n">
        <x:v>49.8</x:v>
      </x:c>
      <x:c r="T74" s="36" t="n">
        <x:v>99.8</x:v>
      </x:c>
      <x:c r="U74" s="38" t="n">
        <x:v>0.499</x:v>
      </x:c>
    </x:row>
    <x:row r="75">
      <x:c r="A75" s="34" t="n">
        <x:v>74</x:v>
      </x:c>
      <x:c r="B75" s="34" t="n">
        <x:v>47</x:v>
      </x:c>
      <x:c r="C75" t="str">
        <x:v>Nicolas Santos</x:v>
      </x:c>
      <x:c r="D75" s="32" t="n">
        <x:v>46119</x:v>
      </x:c>
      <x:c r="E75" t="str">
        <x:v>2026-04</x:v>
      </x:c>
      <x:c r="F75" s="34" t="n">
        <x:v>4</x:v>
      </x:c>
      <x:c r="G75" t="str">
        <x:v>ENTREGUE</x:v>
      </x:c>
      <x:c r="H75" t="str">
        <x:v>Site</x:v>
      </x:c>
      <x:c r="I75" t="str">
        <x:v>Pix</x:v>
      </x:c>
      <x:c r="J75" s="36" t="n">
        <x:v>19.91</x:v>
      </x:c>
      <x:c r="K75" s="34" t="n">
        <x:v>3</x:v>
      </x:c>
      <x:c r="L75" t="str"/>
      <x:c r="M75" s="34" t="n">
        <x:v>1</x:v>
      </x:c>
      <x:c r="N75" s="34" t="n">
        <x:v>1</x:v>
      </x:c>
      <x:c r="O75" s="36" t="n">
        <x:v>119.9</x:v>
      </x:c>
      <x:c r="P75" s="36" t="n">
        <x:v>0</x:v>
      </x:c>
      <x:c r="Q75" s="36" t="n">
        <x:v>119.9</x:v>
      </x:c>
      <x:c r="R75" s="36" t="n">
        <x:v>58</x:v>
      </x:c>
      <x:c r="S75" s="36" t="n">
        <x:v>61.9</x:v>
      </x:c>
      <x:c r="T75" s="36" t="n">
        <x:v>119.9</x:v>
      </x:c>
      <x:c r="U75" s="38" t="n">
        <x:v>0.5163</x:v>
      </x:c>
    </x:row>
    <x:row r="76">
      <x:c r="A76" s="34" t="n">
        <x:v>75</x:v>
      </x:c>
      <x:c r="B76" s="34" t="n">
        <x:v>53</x:v>
      </x:c>
      <x:c r="C76" t="str">
        <x:v>Carla Almeida</x:v>
      </x:c>
      <x:c r="D76" s="32" t="n">
        <x:v>46158</x:v>
      </x:c>
      <x:c r="E76" t="str">
        <x:v>2026-05</x:v>
      </x:c>
      <x:c r="F76" s="34" t="n">
        <x:v>4</x:v>
      </x:c>
      <x:c r="G76" t="str">
        <x:v>ENTREGUE</x:v>
      </x:c>
      <x:c r="H76" t="str">
        <x:v>Site</x:v>
      </x:c>
      <x:c r="I76" t="str">
        <x:v>Pix</x:v>
      </x:c>
      <x:c r="J76" s="36" t="n">
        <x:v>27.33</x:v>
      </x:c>
      <x:c r="K76" s="34" t="n">
        <x:v>2</x:v>
      </x:c>
      <x:c r="L76" t="str"/>
      <x:c r="M76" s="34" t="n">
        <x:v>4</x:v>
      </x:c>
      <x:c r="N76" s="34" t="n">
        <x:v>4</x:v>
      </x:c>
      <x:c r="O76" s="36" t="n">
        <x:v>639.6</x:v>
      </x:c>
      <x:c r="P76" s="36" t="n">
        <x:v>7.8</x:v>
      </x:c>
      <x:c r="Q76" s="36" t="n">
        <x:v>631.8</x:v>
      </x:c>
      <x:c r="R76" s="36" t="n">
        <x:v>357</x:v>
      </x:c>
      <x:c r="S76" s="36" t="n">
        <x:v>274.8</x:v>
      </x:c>
      <x:c r="T76" s="36" t="n">
        <x:v>631.8</x:v>
      </x:c>
      <x:c r="U76" s="38" t="n">
        <x:v>0.4349</x:v>
      </x:c>
    </x:row>
    <x:row r="77">
      <x:c r="A77" s="34" t="n">
        <x:v>76</x:v>
      </x:c>
      <x:c r="B77" s="34" t="n">
        <x:v>40</x:v>
      </x:c>
      <x:c r="C77" t="str">
        <x:v>Samuel Araujo</x:v>
      </x:c>
      <x:c r="D77" s="32" t="n">
        <x:v>46137</x:v>
      </x:c>
      <x:c r="E77" t="str">
        <x:v>2026-04</x:v>
      </x:c>
      <x:c r="F77" s="34" t="n">
        <x:v>3</x:v>
      </x:c>
      <x:c r="G77" t="str">
        <x:v>ENVIADO</x:v>
      </x:c>
      <x:c r="H77" t="str">
        <x:v>Instagram</x:v>
      </x:c>
      <x:c r="I77" t="str">
        <x:v>Pix</x:v>
      </x:c>
      <x:c r="J77" s="36" t="n">
        <x:v>31.12</x:v>
      </x:c>
      <x:c r="K77" s="34" t="n">
        <x:v>1</x:v>
      </x:c>
      <x:c r="L77" t="str"/>
      <x:c r="M77" s="34" t="n">
        <x:v>4</x:v>
      </x:c>
      <x:c r="N77" s="34" t="n">
        <x:v>2</x:v>
      </x:c>
      <x:c r="O77" s="36" t="n">
        <x:v>139.6</x:v>
      </x:c>
      <x:c r="P77" s="36" t="n">
        <x:v>12.58</x:v>
      </x:c>
      <x:c r="Q77" s="36" t="n">
        <x:v>127.02</x:v>
      </x:c>
      <x:c r="R77" s="36" t="n">
        <x:v>54</x:v>
      </x:c>
      <x:c r="S77" s="36" t="n">
        <x:v>73.02</x:v>
      </x:c>
      <x:c r="T77" s="36" t="n">
        <x:v>127.02</x:v>
      </x:c>
      <x:c r="U77" s="38" t="n">
        <x:v>0.5749</x:v>
      </x:c>
    </x:row>
    <x:row r="78">
      <x:c r="A78" s="34" t="n">
        <x:v>77</x:v>
      </x:c>
      <x:c r="B78" s="34" t="n">
        <x:v>45</x:v>
      </x:c>
      <x:c r="C78" t="str">
        <x:v>Nicolas Costa</x:v>
      </x:c>
      <x:c r="D78" s="32" t="n">
        <x:v>46064</x:v>
      </x:c>
      <x:c r="E78" t="str">
        <x:v>2026-02</x:v>
      </x:c>
      <x:c r="F78" s="34" t="n">
        <x:v>4</x:v>
      </x:c>
      <x:c r="G78" t="str">
        <x:v>ENTREGUE</x:v>
      </x:c>
      <x:c r="H78" t="str">
        <x:v>WhatsApp</x:v>
      </x:c>
      <x:c r="I78" t="str">
        <x:v>Cartão crédito</x:v>
      </x:c>
      <x:c r="J78" s="36" t="n">
        <x:v>54.75</x:v>
      </x:c>
      <x:c r="K78" s="34" t="n">
        <x:v>5</x:v>
      </x:c>
      <x:c r="L78" t="str"/>
      <x:c r="M78" s="34" t="n">
        <x:v>4</x:v>
      </x:c>
      <x:c r="N78" s="34" t="n">
        <x:v>2</x:v>
      </x:c>
      <x:c r="O78" s="36" t="n">
        <x:v>489.6</x:v>
      </x:c>
      <x:c r="P78" s="36" t="n">
        <x:v>18.5</x:v>
      </x:c>
      <x:c r="Q78" s="36" t="n">
        <x:v>471.1</x:v>
      </x:c>
      <x:c r="R78" s="36" t="n">
        <x:v>297</x:v>
      </x:c>
      <x:c r="S78" s="36" t="n">
        <x:v>174.1</x:v>
      </x:c>
      <x:c r="T78" s="36" t="n">
        <x:v>471.1</x:v>
      </x:c>
      <x:c r="U78" s="38" t="n">
        <x:v>0.3696</x:v>
      </x:c>
    </x:row>
    <x:row r="79">
      <x:c r="A79" s="34" t="n">
        <x:v>78</x:v>
      </x:c>
      <x:c r="B79" s="34" t="n">
        <x:v>16</x:v>
      </x:c>
      <x:c r="C79" t="str">
        <x:v>Larissa Martins</x:v>
      </x:c>
      <x:c r="D79" s="32" t="n">
        <x:v>46154</x:v>
      </x:c>
      <x:c r="E79" t="str">
        <x:v>2026-05</x:v>
      </x:c>
      <x:c r="F79" s="34" t="n">
        <x:v>4</x:v>
      </x:c>
      <x:c r="G79" t="str">
        <x:v>ENTREGUE</x:v>
      </x:c>
      <x:c r="H79" t="str">
        <x:v>Site</x:v>
      </x:c>
      <x:c r="I79" t="str">
        <x:v>Cartão crédito</x:v>
      </x:c>
      <x:c r="J79" s="36" t="n">
        <x:v>36.18</x:v>
      </x:c>
      <x:c r="K79" s="34" t="n">
        <x:v>4</x:v>
      </x:c>
      <x:c r="L79" t="str"/>
      <x:c r="M79" s="34" t="n">
        <x:v>1</x:v>
      </x:c>
      <x:c r="N79" s="34" t="n">
        <x:v>1</x:v>
      </x:c>
      <x:c r="O79" s="36" t="n">
        <x:v>139.9</x:v>
      </x:c>
      <x:c r="P79" s="36" t="n">
        <x:v>6.99</x:v>
      </x:c>
      <x:c r="Q79" s="36" t="n">
        <x:v>132.91</x:v>
      </x:c>
      <x:c r="R79" s="36" t="n">
        <x:v>69</x:v>
      </x:c>
      <x:c r="S79" s="36" t="n">
        <x:v>63.91</x:v>
      </x:c>
      <x:c r="T79" s="36" t="n">
        <x:v>132.91</x:v>
      </x:c>
      <x:c r="U79" s="38" t="n">
        <x:v>0.4809</x:v>
      </x:c>
    </x:row>
    <x:row r="80">
      <x:c r="A80" s="34" t="n">
        <x:v>79</x:v>
      </x:c>
      <x:c r="B80" s="34" t="n">
        <x:v>56</x:v>
      </x:c>
      <x:c r="C80" t="str">
        <x:v>Olívia Lima</x:v>
      </x:c>
      <x:c r="D80" s="32" t="n">
        <x:v>46178</x:v>
      </x:c>
      <x:c r="E80" t="str">
        <x:v>2026-06</x:v>
      </x:c>
      <x:c r="F80" s="34" t="n">
        <x:v>4</x:v>
      </x:c>
      <x:c r="G80" t="str">
        <x:v>ENTREGUE</x:v>
      </x:c>
      <x:c r="H80" t="str">
        <x:v>Site</x:v>
      </x:c>
      <x:c r="I80" t="str">
        <x:v>Cartão crédito</x:v>
      </x:c>
      <x:c r="J80" s="36" t="n">
        <x:v>38.86</x:v>
      </x:c>
      <x:c r="K80" s="34" t="n">
        <x:v>7</x:v>
      </x:c>
      <x:c r="L80" t="str"/>
      <x:c r="M80" s="34" t="n">
        <x:v>5</x:v>
      </x:c>
      <x:c r="N80" s="34" t="n">
        <x:v>3</x:v>
      </x:c>
      <x:c r="O80" s="36" t="n">
        <x:v>2039.5</x:v>
      </x:c>
      <x:c r="P80" s="36" t="n">
        <x:v>84.99</x:v>
      </x:c>
      <x:c r="Q80" s="36" t="n">
        <x:v>1954.51</x:v>
      </x:c>
      <x:c r="R80" s="36" t="n">
        <x:v>1466</x:v>
      </x:c>
      <x:c r="S80" s="36" t="n">
        <x:v>488.51</x:v>
      </x:c>
      <x:c r="T80" s="36" t="n">
        <x:v>1954.51</x:v>
      </x:c>
      <x:c r="U80" s="38" t="n">
        <x:v>0.2499</x:v>
      </x:c>
    </x:row>
    <x:row r="81">
      <x:c r="A81" s="34" t="n">
        <x:v>80</x:v>
      </x:c>
      <x:c r="B81" s="34" t="n">
        <x:v>16</x:v>
      </x:c>
      <x:c r="C81" t="str">
        <x:v>Larissa Martins</x:v>
      </x:c>
      <x:c r="D81" s="32" t="n">
        <x:v>46152</x:v>
      </x:c>
      <x:c r="E81" t="str">
        <x:v>2026-05</x:v>
      </x:c>
      <x:c r="F81" s="34" t="n">
        <x:v>4</x:v>
      </x:c>
      <x:c r="G81" t="str">
        <x:v>ENTREGUE</x:v>
      </x:c>
      <x:c r="H81" t="str">
        <x:v>Marketplace</x:v>
      </x:c>
      <x:c r="I81" t="str">
        <x:v>Cartão crédito</x:v>
      </x:c>
      <x:c r="J81" s="36" t="n">
        <x:v>28.12</x:v>
      </x:c>
      <x:c r="K81" s="34" t="n">
        <x:v>5</x:v>
      </x:c>
      <x:c r="L81" t="str"/>
      <x:c r="M81" s="34" t="n">
        <x:v>2</x:v>
      </x:c>
      <x:c r="N81" s="34" t="n">
        <x:v>1</x:v>
      </x:c>
      <x:c r="O81" s="36" t="n">
        <x:v>79.8</x:v>
      </x:c>
      <x:c r="P81" s="36" t="n">
        <x:v>0</x:v>
      </x:c>
      <x:c r="Q81" s="36" t="n">
        <x:v>79.8</x:v>
      </x:c>
      <x:c r="R81" s="36" t="n">
        <x:v>34</x:v>
      </x:c>
      <x:c r="S81" s="36" t="n">
        <x:v>45.8</x:v>
      </x:c>
      <x:c r="T81" s="36" t="n">
        <x:v>79.8</x:v>
      </x:c>
      <x:c r="U81" s="38" t="n">
        <x:v>0.5739</x:v>
      </x:c>
    </x:row>
    <x:row r="82">
      <x:c r="A82" s="34" t="n">
        <x:v>81</x:v>
      </x:c>
      <x:c r="B82" s="34" t="n">
        <x:v>60</x:v>
      </x:c>
      <x:c r="C82" t="str">
        <x:v>Mariana Araujo</x:v>
      </x:c>
      <x:c r="D82" s="32" t="n">
        <x:v>46090</x:v>
      </x:c>
      <x:c r="E82" t="str">
        <x:v>2026-03</x:v>
      </x:c>
      <x:c r="F82" s="34" t="n">
        <x:v>4</x:v>
      </x:c>
      <x:c r="G82" t="str">
        <x:v>ENTREGUE</x:v>
      </x:c>
      <x:c r="H82" t="str">
        <x:v>Marketplace</x:v>
      </x:c>
      <x:c r="I82" t="str">
        <x:v>Pix</x:v>
      </x:c>
      <x:c r="J82" s="36" t="n">
        <x:v>12</x:v>
      </x:c>
      <x:c r="K82" s="34" t="n">
        <x:v>5</x:v>
      </x:c>
      <x:c r="L82" t="str"/>
      <x:c r="M82" s="34" t="n">
        <x:v>5</x:v>
      </x:c>
      <x:c r="N82" s="34" t="n">
        <x:v>3</x:v>
      </x:c>
      <x:c r="O82" s="36" t="n">
        <x:v>499.5</x:v>
      </x:c>
      <x:c r="P82" s="36" t="n">
        <x:v>0</x:v>
      </x:c>
      <x:c r="Q82" s="36" t="n">
        <x:v>499.5</x:v>
      </x:c>
      <x:c r="R82" s="36" t="n">
        <x:v>281</x:v>
      </x:c>
      <x:c r="S82" s="36" t="n">
        <x:v>218.5</x:v>
      </x:c>
      <x:c r="T82" s="36" t="n">
        <x:v>499.5</x:v>
      </x:c>
      <x:c r="U82" s="38" t="n">
        <x:v>0.4374</x:v>
      </x:c>
    </x:row>
    <x:row r="83">
      <x:c r="A83" s="34" t="n">
        <x:v>82</x:v>
      </x:c>
      <x:c r="B83" s="34" t="n">
        <x:v>60</x:v>
      </x:c>
      <x:c r="C83" t="str">
        <x:v>Mariana Araujo</x:v>
      </x:c>
      <x:c r="D83" s="32" t="n">
        <x:v>46144</x:v>
      </x:c>
      <x:c r="E83" t="str">
        <x:v>2026-05</x:v>
      </x:c>
      <x:c r="F83" s="34" t="n">
        <x:v>4</x:v>
      </x:c>
      <x:c r="G83" t="str">
        <x:v>ENTREGUE</x:v>
      </x:c>
      <x:c r="H83" t="str">
        <x:v>Site</x:v>
      </x:c>
      <x:c r="I83" t="str">
        <x:v>Pix</x:v>
      </x:c>
      <x:c r="J83" s="36" t="n">
        <x:v>21.86</x:v>
      </x:c>
      <x:c r="K83" s="34" t="n">
        <x:v>6</x:v>
      </x:c>
      <x:c r="L83" t="str"/>
      <x:c r="M83" s="34" t="n">
        <x:v>2</x:v>
      </x:c>
      <x:c r="N83" s="34" t="n">
        <x:v>2</x:v>
      </x:c>
      <x:c r="O83" s="36" t="n">
        <x:v>129.8</x:v>
      </x:c>
      <x:c r="P83" s="36" t="n">
        <x:v>4.49</x:v>
      </x:c>
      <x:c r="Q83" s="36" t="n">
        <x:v>125.31</x:v>
      </x:c>
      <x:c r="R83" s="36" t="n">
        <x:v>65</x:v>
      </x:c>
      <x:c r="S83" s="36" t="n">
        <x:v>60.31</x:v>
      </x:c>
      <x:c r="T83" s="36" t="n">
        <x:v>125.31</x:v>
      </x:c>
      <x:c r="U83" s="38" t="n">
        <x:v>0.4813</x:v>
      </x:c>
    </x:row>
    <x:row r="84">
      <x:c r="A84" s="34" t="n">
        <x:v>83</x:v>
      </x:c>
      <x:c r="B84" s="34" t="n">
        <x:v>36</x:v>
      </x:c>
      <x:c r="C84" t="str">
        <x:v>Yasmin Carvalho</x:v>
      </x:c>
      <x:c r="D84" s="32" t="n">
        <x:v>46169</x:v>
      </x:c>
      <x:c r="E84" t="str">
        <x:v>2026-05</x:v>
      </x:c>
      <x:c r="F84" s="34" t="n">
        <x:v>3</x:v>
      </x:c>
      <x:c r="G84" t="str">
        <x:v>ENVIADO</x:v>
      </x:c>
      <x:c r="H84" t="str">
        <x:v>Site</x:v>
      </x:c>
      <x:c r="I84" t="str">
        <x:v>Pix</x:v>
      </x:c>
      <x:c r="J84" s="36" t="n">
        <x:v>26.78</x:v>
      </x:c>
      <x:c r="K84" s="34" t="n">
        <x:v>3</x:v>
      </x:c>
      <x:c r="L84" t="str"/>
      <x:c r="M84" s="34" t="n">
        <x:v>8</x:v>
      </x:c>
      <x:c r="N84" s="34" t="n">
        <x:v>4</x:v>
      </x:c>
      <x:c r="O84" s="36" t="n">
        <x:v>1319.2</x:v>
      </x:c>
      <x:c r="P84" s="36" t="n">
        <x:v>63.96</x:v>
      </x:c>
      <x:c r="Q84" s="36" t="n">
        <x:v>1255.24</x:v>
      </x:c>
      <x:c r="R84" s="36" t="n">
        <x:v>695</x:v>
      </x:c>
      <x:c r="S84" s="36" t="n">
        <x:v>560.24</x:v>
      </x:c>
      <x:c r="T84" s="36" t="n">
        <x:v>1255.24</x:v>
      </x:c>
      <x:c r="U84" s="38" t="n">
        <x:v>0.4463</x:v>
      </x:c>
    </x:row>
    <x:row r="85">
      <x:c r="A85" s="34" t="n">
        <x:v>84</x:v>
      </x:c>
      <x:c r="B85" s="34" t="n">
        <x:v>51</x:v>
      </x:c>
      <x:c r="C85" t="str">
        <x:v>Sofia Martins</x:v>
      </x:c>
      <x:c r="D85" s="32" t="n">
        <x:v>46178</x:v>
      </x:c>
      <x:c r="E85" t="str">
        <x:v>2026-06</x:v>
      </x:c>
      <x:c r="F85" s="34" t="n">
        <x:v>4</x:v>
      </x:c>
      <x:c r="G85" t="str">
        <x:v>ENTREGUE</x:v>
      </x:c>
      <x:c r="H85" t="str">
        <x:v>Site</x:v>
      </x:c>
      <x:c r="I85" t="str">
        <x:v>Boleto</x:v>
      </x:c>
      <x:c r="J85" s="36" t="n">
        <x:v>13.23</x:v>
      </x:c>
      <x:c r="K85" s="34" t="n">
        <x:v>4</x:v>
      </x:c>
      <x:c r="L85" t="str"/>
      <x:c r="M85" s="34" t="n">
        <x:v>2</x:v>
      </x:c>
      <x:c r="N85" s="34" t="n">
        <x:v>2</x:v>
      </x:c>
      <x:c r="O85" s="36" t="n">
        <x:v>219.8</x:v>
      </x:c>
      <x:c r="P85" s="36" t="n">
        <x:v>16.79</x:v>
      </x:c>
      <x:c r="Q85" s="36" t="n">
        <x:v>203.01</x:v>
      </x:c>
      <x:c r="R85" s="36" t="n">
        <x:v>106</x:v>
      </x:c>
      <x:c r="S85" s="36" t="n">
        <x:v>97.01</x:v>
      </x:c>
      <x:c r="T85" s="36" t="n">
        <x:v>203.01</x:v>
      </x:c>
      <x:c r="U85" s="38" t="n">
        <x:v>0.4779</x:v>
      </x:c>
    </x:row>
    <x:row r="86">
      <x:c r="A86" s="34" t="n">
        <x:v>85</x:v>
      </x:c>
      <x:c r="B86" s="34" t="n">
        <x:v>55</x:v>
      </x:c>
      <x:c r="C86" t="str">
        <x:v>Henrique Araujo</x:v>
      </x:c>
      <x:c r="D86" s="32" t="n">
        <x:v>46074</x:v>
      </x:c>
      <x:c r="E86" t="str">
        <x:v>2026-02</x:v>
      </x:c>
      <x:c r="F86" s="34" t="n">
        <x:v>5</x:v>
      </x:c>
      <x:c r="G86" t="str">
        <x:v>CANCELADO</x:v>
      </x:c>
      <x:c r="H86" t="str">
        <x:v>WhatsApp</x:v>
      </x:c>
      <x:c r="I86" t="str">
        <x:v>Pix</x:v>
      </x:c>
      <x:c r="J86" s="36" t="n">
        <x:v>29.43</x:v>
      </x:c>
      <x:c r="K86" s="34"/>
      <x:c r="L86" t="str">
        <x:v>Falha na aprovação do pedido</x:v>
      </x:c>
      <x:c r="M86" s="34" t="n">
        <x:v>4</x:v>
      </x:c>
      <x:c r="N86" s="34" t="n">
        <x:v>2</x:v>
      </x:c>
      <x:c r="O86" s="36" t="n">
        <x:v>369.6</x:v>
      </x:c>
      <x:c r="P86" s="36" t="n">
        <x:v>18.49</x:v>
      </x:c>
      <x:c r="Q86" s="36" t="n">
        <x:v>0</x:v>
      </x:c>
      <x:c r="R86" s="36" t="n">
        <x:v>0</x:v>
      </x:c>
      <x:c r="S86" s="36" t="n">
        <x:v>0</x:v>
      </x:c>
      <x:c r="T86" s="36" t="n">
        <x:v>0</x:v>
      </x:c>
      <x:c r="U86" s="38" t="n">
        <x:v>0</x:v>
      </x:c>
    </x:row>
    <x:row r="87">
      <x:c r="A87" s="34" t="n">
        <x:v>86</x:v>
      </x:c>
      <x:c r="B87" s="34" t="n">
        <x:v>55</x:v>
      </x:c>
      <x:c r="C87" t="str">
        <x:v>Henrique Araujo</x:v>
      </x:c>
      <x:c r="D87" s="32" t="n">
        <x:v>46156</x:v>
      </x:c>
      <x:c r="E87" t="str">
        <x:v>2026-05</x:v>
      </x:c>
      <x:c r="F87" s="34" t="n">
        <x:v>3</x:v>
      </x:c>
      <x:c r="G87" t="str">
        <x:v>ENVIADO</x:v>
      </x:c>
      <x:c r="H87" t="str">
        <x:v>Site</x:v>
      </x:c>
      <x:c r="I87" t="str">
        <x:v>Boleto</x:v>
      </x:c>
      <x:c r="J87" s="36" t="n">
        <x:v>46.71</x:v>
      </x:c>
      <x:c r="K87" s="34" t="n">
        <x:v>2</x:v>
      </x:c>
      <x:c r="L87" t="str"/>
      <x:c r="M87" s="34" t="n">
        <x:v>2</x:v>
      </x:c>
      <x:c r="N87" s="34" t="n">
        <x:v>2</x:v>
      </x:c>
      <x:c r="O87" s="36" t="n">
        <x:v>149.8</x:v>
      </x:c>
      <x:c r="P87" s="36" t="n">
        <x:v>0</x:v>
      </x:c>
      <x:c r="Q87" s="36" t="n">
        <x:v>149.8</x:v>
      </x:c>
      <x:c r="R87" s="36" t="n">
        <x:v>68</x:v>
      </x:c>
      <x:c r="S87" s="36" t="n">
        <x:v>81.8</x:v>
      </x:c>
      <x:c r="T87" s="36" t="n">
        <x:v>149.8</x:v>
      </x:c>
      <x:c r="U87" s="38" t="n">
        <x:v>0.5461</x:v>
      </x:c>
    </x:row>
    <x:row r="88">
      <x:c r="A88" s="34" t="n">
        <x:v>87</x:v>
      </x:c>
      <x:c r="B88" s="34" t="n">
        <x:v>38</x:v>
      </x:c>
      <x:c r="C88" t="str">
        <x:v>Diego Santos</x:v>
      </x:c>
      <x:c r="D88" s="32" t="n">
        <x:v>46047</x:v>
      </x:c>
      <x:c r="E88" t="str">
        <x:v>2026-01</x:v>
      </x:c>
      <x:c r="F88" s="34" t="n">
        <x:v>4</x:v>
      </x:c>
      <x:c r="G88" t="str">
        <x:v>ENTREGUE</x:v>
      </x:c>
      <x:c r="H88" t="str">
        <x:v>Site</x:v>
      </x:c>
      <x:c r="I88" t="str">
        <x:v>Cartão crédito</x:v>
      </x:c>
      <x:c r="J88" s="36" t="n">
        <x:v>27.37</x:v>
      </x:c>
      <x:c r="K88" s="34" t="n">
        <x:v>6</x:v>
      </x:c>
      <x:c r="L88" t="str"/>
      <x:c r="M88" s="34" t="n">
        <x:v>3</x:v>
      </x:c>
      <x:c r="N88" s="34" t="n">
        <x:v>2</x:v>
      </x:c>
      <x:c r="O88" s="36" t="n">
        <x:v>419.7</x:v>
      </x:c>
      <x:c r="P88" s="36" t="n">
        <x:v>5</x:v>
      </x:c>
      <x:c r="Q88" s="36" t="n">
        <x:v>414.7</x:v>
      </x:c>
      <x:c r="R88" s="36" t="n">
        <x:v>248</x:v>
      </x:c>
      <x:c r="S88" s="36" t="n">
        <x:v>166.7</x:v>
      </x:c>
      <x:c r="T88" s="36" t="n">
        <x:v>414.7</x:v>
      </x:c>
      <x:c r="U88" s="38" t="n">
        <x:v>0.402</x:v>
      </x:c>
    </x:row>
    <x:row r="89">
      <x:c r="A89" s="34" t="n">
        <x:v>88</x:v>
      </x:c>
      <x:c r="B89" s="34" t="n">
        <x:v>19</x:v>
      </x:c>
      <x:c r="C89" t="str">
        <x:v>Sofia Nascimento</x:v>
      </x:c>
      <x:c r="D89" s="32" t="n">
        <x:v>46135</x:v>
      </x:c>
      <x:c r="E89" t="str">
        <x:v>2026-04</x:v>
      </x:c>
      <x:c r="F89" s="34" t="n">
        <x:v>4</x:v>
      </x:c>
      <x:c r="G89" t="str">
        <x:v>ENTREGUE</x:v>
      </x:c>
      <x:c r="H89" t="str">
        <x:v>WhatsApp</x:v>
      </x:c>
      <x:c r="I89" t="str">
        <x:v>Pix</x:v>
      </x:c>
      <x:c r="J89" s="36" t="n">
        <x:v>12</x:v>
      </x:c>
      <x:c r="K89" s="34" t="n">
        <x:v>6</x:v>
      </x:c>
      <x:c r="L89" t="str"/>
      <x:c r="M89" s="34" t="n">
        <x:v>2</x:v>
      </x:c>
      <x:c r="N89" s="34" t="n">
        <x:v>1</x:v>
      </x:c>
      <x:c r="O89" s="36" t="n">
        <x:v>399.8</x:v>
      </x:c>
      <x:c r="P89" s="36" t="n">
        <x:v>39.98</x:v>
      </x:c>
      <x:c r="Q89" s="36" t="n">
        <x:v>359.82</x:v>
      </x:c>
      <x:c r="R89" s="36" t="n">
        <x:v>224</x:v>
      </x:c>
      <x:c r="S89" s="36" t="n">
        <x:v>135.82</x:v>
      </x:c>
      <x:c r="T89" s="36" t="n">
        <x:v>359.82</x:v>
      </x:c>
      <x:c r="U89" s="38" t="n">
        <x:v>0.3775</x:v>
      </x:c>
    </x:row>
    <x:row r="90">
      <x:c r="A90" s="34" t="n">
        <x:v>89</x:v>
      </x:c>
      <x:c r="B90" s="34" t="n">
        <x:v>52</x:v>
      </x:c>
      <x:c r="C90" t="str">
        <x:v>Henrique Gomes</x:v>
      </x:c>
      <x:c r="D90" s="32" t="n">
        <x:v>46163</x:v>
      </x:c>
      <x:c r="E90" t="str">
        <x:v>2026-05</x:v>
      </x:c>
      <x:c r="F90" s="34" t="n">
        <x:v>4</x:v>
      </x:c>
      <x:c r="G90" t="str">
        <x:v>ENTREGUE</x:v>
      </x:c>
      <x:c r="H90" t="str">
        <x:v>Site</x:v>
      </x:c>
      <x:c r="I90" t="str">
        <x:v>Pix</x:v>
      </x:c>
      <x:c r="J90" s="36" t="n">
        <x:v>12.85</x:v>
      </x:c>
      <x:c r="K90" s="34" t="n">
        <x:v>6</x:v>
      </x:c>
      <x:c r="L90" t="str"/>
      <x:c r="M90" s="34" t="n">
        <x:v>3</x:v>
      </x:c>
      <x:c r="N90" s="34" t="n">
        <x:v>2</x:v>
      </x:c>
      <x:c r="O90" s="36" t="n">
        <x:v>279.7</x:v>
      </x:c>
      <x:c r="P90" s="36" t="n">
        <x:v>2.4</x:v>
      </x:c>
      <x:c r="Q90" s="36" t="n">
        <x:v>277.3</x:v>
      </x:c>
      <x:c r="R90" s="36" t="n">
        <x:v>146</x:v>
      </x:c>
      <x:c r="S90" s="36" t="n">
        <x:v>131.3</x:v>
      </x:c>
      <x:c r="T90" s="36" t="n">
        <x:v>277.3</x:v>
      </x:c>
      <x:c r="U90" s="38" t="n">
        <x:v>0.4735</x:v>
      </x:c>
    </x:row>
    <x:row r="91">
      <x:c r="A91" s="34" t="n">
        <x:v>90</x:v>
      </x:c>
      <x:c r="B91" s="34" t="n">
        <x:v>10</x:v>
      </x:c>
      <x:c r="C91" t="str">
        <x:v>Tatiane Rodrigues</x:v>
      </x:c>
      <x:c r="D91" s="32" t="n">
        <x:v>46072</x:v>
      </x:c>
      <x:c r="E91" t="str">
        <x:v>2026-02</x:v>
      </x:c>
      <x:c r="F91" s="34" t="n">
        <x:v>4</x:v>
      </x:c>
      <x:c r="G91" t="str">
        <x:v>ENTREGUE</x:v>
      </x:c>
      <x:c r="H91" t="str">
        <x:v>Instagram</x:v>
      </x:c>
      <x:c r="I91" t="str">
        <x:v>Cartão débito</x:v>
      </x:c>
      <x:c r="J91" s="36" t="n">
        <x:v>28.89</x:v>
      </x:c>
      <x:c r="K91" s="34" t="n">
        <x:v>2</x:v>
      </x:c>
      <x:c r="L91" t="str"/>
      <x:c r="M91" s="34" t="n">
        <x:v>1</x:v>
      </x:c>
      <x:c r="N91" s="34" t="n">
        <x:v>1</x:v>
      </x:c>
      <x:c r="O91" s="36" t="n">
        <x:v>189.9</x:v>
      </x:c>
      <x:c r="P91" s="36" t="n">
        <x:v>0</x:v>
      </x:c>
      <x:c r="Q91" s="36" t="n">
        <x:v>189.9</x:v>
      </x:c>
      <x:c r="R91" s="36" t="n">
        <x:v>103</x:v>
      </x:c>
      <x:c r="S91" s="36" t="n">
        <x:v>86.9</x:v>
      </x:c>
      <x:c r="T91" s="36" t="n">
        <x:v>189.9</x:v>
      </x:c>
      <x:c r="U91" s="38" t="n">
        <x:v>0.4576</x:v>
      </x:c>
    </x:row>
    <x:row r="92">
      <x:c r="A92" s="34" t="n">
        <x:v>91</x:v>
      </x:c>
      <x:c r="B92" s="34" t="n">
        <x:v>27</x:v>
      </x:c>
      <x:c r="C92" t="str">
        <x:v>Rodrigo Almeida</x:v>
      </x:c>
      <x:c r="D92" s="32" t="n">
        <x:v>46036</x:v>
      </x:c>
      <x:c r="E92" t="str">
        <x:v>2026-01</x:v>
      </x:c>
      <x:c r="F92" s="34" t="n">
        <x:v>3</x:v>
      </x:c>
      <x:c r="G92" t="str">
        <x:v>ENVIADO</x:v>
      </x:c>
      <x:c r="H92" t="str">
        <x:v>Indicação</x:v>
      </x:c>
      <x:c r="I92" t="str">
        <x:v>Cartão débito</x:v>
      </x:c>
      <x:c r="J92" s="36" t="n">
        <x:v>29.82</x:v>
      </x:c>
      <x:c r="K92" s="34" t="n">
        <x:v>1</x:v>
      </x:c>
      <x:c r="L92" t="str"/>
      <x:c r="M92" s="34" t="n">
        <x:v>2</x:v>
      </x:c>
      <x:c r="N92" s="34" t="n">
        <x:v>1</x:v>
      </x:c>
      <x:c r="O92" s="36" t="n">
        <x:v>99.8</x:v>
      </x:c>
      <x:c r="P92" s="36" t="n">
        <x:v>3</x:v>
      </x:c>
      <x:c r="Q92" s="36" t="n">
        <x:v>96.8</x:v>
      </x:c>
      <x:c r="R92" s="36" t="n">
        <x:v>50</x:v>
      </x:c>
      <x:c r="S92" s="36" t="n">
        <x:v>46.8</x:v>
      </x:c>
      <x:c r="T92" s="36" t="n">
        <x:v>96.8</x:v>
      </x:c>
      <x:c r="U92" s="38" t="n">
        <x:v>0.4835</x:v>
      </x:c>
    </x:row>
    <x:row r="93">
      <x:c r="A93" s="34" t="n">
        <x:v>92</x:v>
      </x:c>
      <x:c r="B93" s="34" t="n">
        <x:v>23</x:v>
      </x:c>
      <x:c r="C93" t="str">
        <x:v>Matheus Silva</x:v>
      </x:c>
      <x:c r="D93" s="32" t="n">
        <x:v>46088</x:v>
      </x:c>
      <x:c r="E93" t="str">
        <x:v>2026-03</x:v>
      </x:c>
      <x:c r="F93" s="34" t="n">
        <x:v>1</x:v>
      </x:c>
      <x:c r="G93" t="str">
        <x:v>PENDENTE</x:v>
      </x:c>
      <x:c r="H93" t="str">
        <x:v>WhatsApp</x:v>
      </x:c>
      <x:c r="I93" t="str">
        <x:v>Pix</x:v>
      </x:c>
      <x:c r="J93" s="36" t="n">
        <x:v>30.11</x:v>
      </x:c>
      <x:c r="K93" s="34"/>
      <x:c r="L93" t="str"/>
      <x:c r="M93" s="34" t="n">
        <x:v>4</x:v>
      </x:c>
      <x:c r="N93" s="34" t="n">
        <x:v>2</x:v>
      </x:c>
      <x:c r="O93" s="36" t="n">
        <x:v>409.6</x:v>
      </x:c>
      <x:c r="P93" s="36" t="n">
        <x:v>13</x:v>
      </x:c>
      <x:c r="Q93" s="36" t="n">
        <x:v>396.6</x:v>
      </x:c>
      <x:c r="R93" s="36" t="n">
        <x:v>233</x:v>
      </x:c>
      <x:c r="S93" s="36" t="n">
        <x:v>163.6</x:v>
      </x:c>
      <x:c r="T93" s="36" t="n">
        <x:v>396.6</x:v>
      </x:c>
      <x:c r="U93" s="38" t="n">
        <x:v>0.4125</x:v>
      </x:c>
    </x:row>
    <x:row r="94">
      <x:c r="A94" s="34" t="n">
        <x:v>93</x:v>
      </x:c>
      <x:c r="B94" s="34" t="n">
        <x:v>29</x:v>
      </x:c>
      <x:c r="C94" t="str">
        <x:v>Thiago Carvalho</x:v>
      </x:c>
      <x:c r="D94" s="32" t="n">
        <x:v>46068</x:v>
      </x:c>
      <x:c r="E94" t="str">
        <x:v>2026-02</x:v>
      </x:c>
      <x:c r="F94" s="34" t="n">
        <x:v>4</x:v>
      </x:c>
      <x:c r="G94" t="str">
        <x:v>ENTREGUE</x:v>
      </x:c>
      <x:c r="H94" t="str">
        <x:v>Site</x:v>
      </x:c>
      <x:c r="I94" t="str">
        <x:v>Cartão crédito</x:v>
      </x:c>
      <x:c r="J94" s="36" t="n">
        <x:v>39.97</x:v>
      </x:c>
      <x:c r="K94" s="34" t="n">
        <x:v>6</x:v>
      </x:c>
      <x:c r="L94" t="str"/>
      <x:c r="M94" s="34" t="n">
        <x:v>4</x:v>
      </x:c>
      <x:c r="N94" s="34" t="n">
        <x:v>3</x:v>
      </x:c>
      <x:c r="O94" s="36" t="n">
        <x:v>479.6</x:v>
      </x:c>
      <x:c r="P94" s="36" t="n">
        <x:v>14.5</x:v>
      </x:c>
      <x:c r="Q94" s="36" t="n">
        <x:v>465.1</x:v>
      </x:c>
      <x:c r="R94" s="36" t="n">
        <x:v>266</x:v>
      </x:c>
      <x:c r="S94" s="36" t="n">
        <x:v>199.1</x:v>
      </x:c>
      <x:c r="T94" s="36" t="n">
        <x:v>465.1</x:v>
      </x:c>
      <x:c r="U94" s="38" t="n">
        <x:v>0.4281</x:v>
      </x:c>
    </x:row>
    <x:row r="95">
      <x:c r="A95" s="34" t="n">
        <x:v>94</x:v>
      </x:c>
      <x:c r="B95" s="34" t="n">
        <x:v>35</x:v>
      </x:c>
      <x:c r="C95" t="str">
        <x:v>Sofia Santos</x:v>
      </x:c>
      <x:c r="D95" s="32" t="n">
        <x:v>46175</x:v>
      </x:c>
      <x:c r="E95" t="str">
        <x:v>2026-06</x:v>
      </x:c>
      <x:c r="F95" s="34" t="n">
        <x:v>4</x:v>
      </x:c>
      <x:c r="G95" t="str">
        <x:v>ENTREGUE</x:v>
      </x:c>
      <x:c r="H95" t="str">
        <x:v>Site</x:v>
      </x:c>
      <x:c r="I95" t="str">
        <x:v>Cartão crédito</x:v>
      </x:c>
      <x:c r="J95" s="36" t="n">
        <x:v>46.54</x:v>
      </x:c>
      <x:c r="K95" s="34" t="n">
        <x:v>6</x:v>
      </x:c>
      <x:c r="L95" t="str"/>
      <x:c r="M95" s="34" t="n">
        <x:v>1</x:v>
      </x:c>
      <x:c r="N95" s="34" t="n">
        <x:v>1</x:v>
      </x:c>
      <x:c r="O95" s="36" t="n">
        <x:v>39.9</x:v>
      </x:c>
      <x:c r="P95" s="36" t="n">
        <x:v>2</x:v>
      </x:c>
      <x:c r="Q95" s="36" t="n">
        <x:v>37.9</x:v>
      </x:c>
      <x:c r="R95" s="36" t="n">
        <x:v>17</x:v>
      </x:c>
      <x:c r="S95" s="36" t="n">
        <x:v>20.9</x:v>
      </x:c>
      <x:c r="T95" s="36" t="n">
        <x:v>37.9</x:v>
      </x:c>
      <x:c r="U95" s="38" t="n">
        <x:v>0.5515</x:v>
      </x:c>
    </x:row>
    <x:row r="96">
      <x:c r="A96" s="34" t="n">
        <x:v>95</x:v>
      </x:c>
      <x:c r="B96" s="34" t="n">
        <x:v>60</x:v>
      </x:c>
      <x:c r="C96" t="str">
        <x:v>Mariana Araujo</x:v>
      </x:c>
      <x:c r="D96" s="32" t="n">
        <x:v>46031</x:v>
      </x:c>
      <x:c r="E96" t="str">
        <x:v>2026-01</x:v>
      </x:c>
      <x:c r="F96" s="34" t="n">
        <x:v>4</x:v>
      </x:c>
      <x:c r="G96" t="str">
        <x:v>ENTREGUE</x:v>
      </x:c>
      <x:c r="H96" t="str">
        <x:v>Site</x:v>
      </x:c>
      <x:c r="I96" t="str">
        <x:v>Pix</x:v>
      </x:c>
      <x:c r="J96" s="36" t="n">
        <x:v>56.57</x:v>
      </x:c>
      <x:c r="K96" s="34" t="n">
        <x:v>4</x:v>
      </x:c>
      <x:c r="L96" t="str"/>
      <x:c r="M96" s="34" t="n">
        <x:v>3</x:v>
      </x:c>
      <x:c r="N96" s="34" t="n">
        <x:v>3</x:v>
      </x:c>
      <x:c r="O96" s="36" t="n">
        <x:v>339.7</x:v>
      </x:c>
      <x:c r="P96" s="36" t="n">
        <x:v>17.18</x:v>
      </x:c>
      <x:c r="Q96" s="36" t="n">
        <x:v>322.52</x:v>
      </x:c>
      <x:c r="R96" s="36" t="n">
        <x:v>185</x:v>
      </x:c>
      <x:c r="S96" s="36" t="n">
        <x:v>137.52</x:v>
      </x:c>
      <x:c r="T96" s="36" t="n">
        <x:v>322.52</x:v>
      </x:c>
      <x:c r="U96" s="38" t="n">
        <x:v>0.4264</x:v>
      </x:c>
    </x:row>
    <x:row r="97">
      <x:c r="A97" s="34" t="n">
        <x:v>96</x:v>
      </x:c>
      <x:c r="B97" s="34" t="n">
        <x:v>21</x:v>
      </x:c>
      <x:c r="C97" t="str">
        <x:v>Henrique Pereira</x:v>
      </x:c>
      <x:c r="D97" s="32" t="n">
        <x:v>46146</x:v>
      </x:c>
      <x:c r="E97" t="str">
        <x:v>2026-05</x:v>
      </x:c>
      <x:c r="F97" s="34" t="n">
        <x:v>4</x:v>
      </x:c>
      <x:c r="G97" t="str">
        <x:v>ENTREGUE</x:v>
      </x:c>
      <x:c r="H97" t="str">
        <x:v>Marketplace</x:v>
      </x:c>
      <x:c r="I97" t="str">
        <x:v>Pix</x:v>
      </x:c>
      <x:c r="J97" s="36" t="n">
        <x:v>18.83</x:v>
      </x:c>
      <x:c r="K97" s="34" t="n">
        <x:v>2</x:v>
      </x:c>
      <x:c r="L97" t="str"/>
      <x:c r="M97" s="34" t="n">
        <x:v>3</x:v>
      </x:c>
      <x:c r="N97" s="34" t="n">
        <x:v>2</x:v>
      </x:c>
      <x:c r="O97" s="36" t="n">
        <x:v>1399.7</x:v>
      </x:c>
      <x:c r="P97" s="36" t="n">
        <x:v>27</x:v>
      </x:c>
      <x:c r="Q97" s="36" t="n">
        <x:v>1372.7</x:v>
      </x:c>
      <x:c r="R97" s="36" t="n">
        <x:v>955</x:v>
      </x:c>
      <x:c r="S97" s="36" t="n">
        <x:v>417.7</x:v>
      </x:c>
      <x:c r="T97" s="36" t="n">
        <x:v>1372.7</x:v>
      </x:c>
      <x:c r="U97" s="38" t="n">
        <x:v>0.3043</x:v>
      </x:c>
    </x:row>
    <x:row r="98">
      <x:c r="A98" s="34" t="n">
        <x:v>97</x:v>
      </x:c>
      <x:c r="B98" s="34" t="n">
        <x:v>36</x:v>
      </x:c>
      <x:c r="C98" t="str">
        <x:v>Yasmin Carvalho</x:v>
      </x:c>
      <x:c r="D98" s="32" t="n">
        <x:v>46167</x:v>
      </x:c>
      <x:c r="E98" t="str">
        <x:v>2026-05</x:v>
      </x:c>
      <x:c r="F98" s="34" t="n">
        <x:v>4</x:v>
      </x:c>
      <x:c r="G98" t="str">
        <x:v>ENTREGUE</x:v>
      </x:c>
      <x:c r="H98" t="str">
        <x:v>Site</x:v>
      </x:c>
      <x:c r="I98" t="str">
        <x:v>Pix</x:v>
      </x:c>
      <x:c r="J98" s="36" t="n">
        <x:v>30.21</x:v>
      </x:c>
      <x:c r="K98" s="34" t="n">
        <x:v>4</x:v>
      </x:c>
      <x:c r="L98" t="str"/>
      <x:c r="M98" s="34" t="n">
        <x:v>4</x:v>
      </x:c>
      <x:c r="N98" s="34" t="n">
        <x:v>2</x:v>
      </x:c>
      <x:c r="O98" s="36" t="n">
        <x:v>859.6</x:v>
      </x:c>
      <x:c r="P98" s="36" t="n">
        <x:v>0</x:v>
      </x:c>
      <x:c r="Q98" s="36" t="n">
        <x:v>859.6</x:v>
      </x:c>
      <x:c r="R98" s="36" t="n">
        <x:v>502</x:v>
      </x:c>
      <x:c r="S98" s="36" t="n">
        <x:v>357.6</x:v>
      </x:c>
      <x:c r="T98" s="36" t="n">
        <x:v>859.6</x:v>
      </x:c>
      <x:c r="U98" s="38" t="n">
        <x:v>0.416</x:v>
      </x:c>
    </x:row>
    <x:row r="99">
      <x:c r="A99" s="34" t="n">
        <x:v>98</x:v>
      </x:c>
      <x:c r="B99" s="34" t="n">
        <x:v>52</x:v>
      </x:c>
      <x:c r="C99" t="str">
        <x:v>Henrique Gomes</x:v>
      </x:c>
      <x:c r="D99" s="32" t="n">
        <x:v>46175</x:v>
      </x:c>
      <x:c r="E99" t="str">
        <x:v>2026-06</x:v>
      </x:c>
      <x:c r="F99" s="34" t="n">
        <x:v>4</x:v>
      </x:c>
      <x:c r="G99" t="str">
        <x:v>ENTREGUE</x:v>
      </x:c>
      <x:c r="H99" t="str">
        <x:v>Site</x:v>
      </x:c>
      <x:c r="I99" t="str">
        <x:v>Pix</x:v>
      </x:c>
      <x:c r="J99" s="36" t="n">
        <x:v>35.71</x:v>
      </x:c>
      <x:c r="K99" s="34" t="n">
        <x:v>3</x:v>
      </x:c>
      <x:c r="L99" t="str"/>
      <x:c r="M99" s="34" t="n">
        <x:v>1</x:v>
      </x:c>
      <x:c r="N99" s="34" t="n">
        <x:v>1</x:v>
      </x:c>
      <x:c r="O99" s="36" t="n">
        <x:v>49.9</x:v>
      </x:c>
      <x:c r="P99" s="36" t="n">
        <x:v>0</x:v>
      </x:c>
      <x:c r="Q99" s="36" t="n">
        <x:v>49.9</x:v>
      </x:c>
      <x:c r="R99" s="36" t="n">
        <x:v>25</x:v>
      </x:c>
      <x:c r="S99" s="36" t="n">
        <x:v>24.9</x:v>
      </x:c>
      <x:c r="T99" s="36" t="n">
        <x:v>49.9</x:v>
      </x:c>
      <x:c r="U99" s="38" t="n">
        <x:v>0.499</x:v>
      </x:c>
    </x:row>
    <x:row r="100">
      <x:c r="A100" s="34" t="n">
        <x:v>99</x:v>
      </x:c>
      <x:c r="B100" s="34" t="n">
        <x:v>24</x:v>
      </x:c>
      <x:c r="C100" t="str">
        <x:v>Gabriela Nascimento</x:v>
      </x:c>
      <x:c r="D100" s="32" t="n">
        <x:v>46175</x:v>
      </x:c>
      <x:c r="E100" t="str">
        <x:v>2026-06</x:v>
      </x:c>
      <x:c r="F100" s="34" t="n">
        <x:v>3</x:v>
      </x:c>
      <x:c r="G100" t="str">
        <x:v>ENVIADO</x:v>
      </x:c>
      <x:c r="H100" t="str">
        <x:v>Site</x:v>
      </x:c>
      <x:c r="I100" t="str">
        <x:v>Cartão débito</x:v>
      </x:c>
      <x:c r="J100" s="36" t="n">
        <x:v>29.58</x:v>
      </x:c>
      <x:c r="K100" s="34" t="n">
        <x:v>1</x:v>
      </x:c>
      <x:c r="L100" t="str"/>
      <x:c r="M100" s="34" t="n">
        <x:v>1</x:v>
      </x:c>
      <x:c r="N100" s="34" t="n">
        <x:v>1</x:v>
      </x:c>
      <x:c r="O100" s="36" t="n">
        <x:v>99.9</x:v>
      </x:c>
      <x:c r="P100" s="36" t="n">
        <x:v>4.99</x:v>
      </x:c>
      <x:c r="Q100" s="36" t="n">
        <x:v>94.91</x:v>
      </x:c>
      <x:c r="R100" s="36" t="n">
        <x:v>46</x:v>
      </x:c>
      <x:c r="S100" s="36" t="n">
        <x:v>48.91</x:v>
      </x:c>
      <x:c r="T100" s="36" t="n">
        <x:v>94.91</x:v>
      </x:c>
      <x:c r="U100" s="38" t="n">
        <x:v>0.5153</x:v>
      </x:c>
    </x:row>
    <x:row r="101">
      <x:c r="A101" s="34" t="n">
        <x:v>100</x:v>
      </x:c>
      <x:c r="B101" s="34" t="n">
        <x:v>36</x:v>
      </x:c>
      <x:c r="C101" t="str">
        <x:v>Yasmin Carvalho</x:v>
      </x:c>
      <x:c r="D101" s="32" t="n">
        <x:v>46176</x:v>
      </x:c>
      <x:c r="E101" t="str">
        <x:v>2026-06</x:v>
      </x:c>
      <x:c r="F101" s="34" t="n">
        <x:v>4</x:v>
      </x:c>
      <x:c r="G101" t="str">
        <x:v>ENTREGUE</x:v>
      </x:c>
      <x:c r="H101" t="str">
        <x:v>Site</x:v>
      </x:c>
      <x:c r="I101" t="str">
        <x:v>Pix</x:v>
      </x:c>
      <x:c r="J101" s="36" t="n">
        <x:v>16.32</x:v>
      </x:c>
      <x:c r="K101" s="34" t="n">
        <x:v>6</x:v>
      </x:c>
      <x:c r="L101" t="str"/>
      <x:c r="M101" s="34" t="n">
        <x:v>2</x:v>
      </x:c>
      <x:c r="N101" s="34" t="n">
        <x:v>1</x:v>
      </x:c>
      <x:c r="O101" s="36" t="n">
        <x:v>399.8</x:v>
      </x:c>
      <x:c r="P101" s="36" t="n">
        <x:v>19.98</x:v>
      </x:c>
      <x:c r="Q101" s="36" t="n">
        <x:v>379.82</x:v>
      </x:c>
      <x:c r="R101" s="36" t="n">
        <x:v>224</x:v>
      </x:c>
      <x:c r="S101" s="36" t="n">
        <x:v>155.82</x:v>
      </x:c>
      <x:c r="T101" s="36" t="n">
        <x:v>379.82</x:v>
      </x:c>
      <x:c r="U101" s="38" t="n">
        <x:v>0.4102</x:v>
      </x:c>
    </x:row>
    <x:row r="102">
      <x:c r="A102" s="34" t="n">
        <x:v>101</x:v>
      </x:c>
      <x:c r="B102" s="34" t="n">
        <x:v>59</x:v>
      </x:c>
      <x:c r="C102" t="str">
        <x:v>Letícia Souza</x:v>
      </x:c>
      <x:c r="D102" s="32" t="n">
        <x:v>46150</x:v>
      </x:c>
      <x:c r="E102" t="str">
        <x:v>2026-05</x:v>
      </x:c>
      <x:c r="F102" s="34" t="n">
        <x:v>4</x:v>
      </x:c>
      <x:c r="G102" t="str">
        <x:v>ENTREGUE</x:v>
      </x:c>
      <x:c r="H102" t="str">
        <x:v>Marketplace</x:v>
      </x:c>
      <x:c r="I102" t="str">
        <x:v>Cartão crédito</x:v>
      </x:c>
      <x:c r="J102" s="36" t="n">
        <x:v>27.15</x:v>
      </x:c>
      <x:c r="K102" s="34" t="n">
        <x:v>1</x:v>
      </x:c>
      <x:c r="L102" t="str"/>
      <x:c r="M102" s="34" t="n">
        <x:v>1</x:v>
      </x:c>
      <x:c r="N102" s="34" t="n">
        <x:v>1</x:v>
      </x:c>
      <x:c r="O102" s="36" t="n">
        <x:v>179.9</x:v>
      </x:c>
      <x:c r="P102" s="36" t="n">
        <x:v>0</x:v>
      </x:c>
      <x:c r="Q102" s="36" t="n">
        <x:v>179.9</x:v>
      </x:c>
      <x:c r="R102" s="36" t="n">
        <x:v>107</x:v>
      </x:c>
      <x:c r="S102" s="36" t="n">
        <x:v>72.9</x:v>
      </x:c>
      <x:c r="T102" s="36" t="n">
        <x:v>179.9</x:v>
      </x:c>
      <x:c r="U102" s="38" t="n">
        <x:v>0.4052</x:v>
      </x:c>
    </x:row>
    <x:row r="103">
      <x:c r="A103" s="34" t="n">
        <x:v>102</x:v>
      </x:c>
      <x:c r="B103" s="34" t="n">
        <x:v>33</x:v>
      </x:c>
      <x:c r="C103" t="str">
        <x:v>Isabela Oliveira</x:v>
      </x:c>
      <x:c r="D103" s="32" t="n">
        <x:v>46164</x:v>
      </x:c>
      <x:c r="E103" t="str">
        <x:v>2026-05</x:v>
      </x:c>
      <x:c r="F103" s="34" t="n">
        <x:v>4</x:v>
      </x:c>
      <x:c r="G103" t="str">
        <x:v>ENTREGUE</x:v>
      </x:c>
      <x:c r="H103" t="str">
        <x:v>Site</x:v>
      </x:c>
      <x:c r="I103" t="str">
        <x:v>Cartão crédito</x:v>
      </x:c>
      <x:c r="J103" s="36" t="n">
        <x:v>24.78</x:v>
      </x:c>
      <x:c r="K103" s="34" t="n">
        <x:v>8</x:v>
      </x:c>
      <x:c r="L103" t="str"/>
      <x:c r="M103" s="34" t="n">
        <x:v>3</x:v>
      </x:c>
      <x:c r="N103" s="34" t="n">
        <x:v>3</x:v>
      </x:c>
      <x:c r="O103" s="36" t="n">
        <x:v>499.7</x:v>
      </x:c>
      <x:c r="P103" s="36" t="n">
        <x:v>16.99</x:v>
      </x:c>
      <x:c r="Q103" s="36" t="n">
        <x:v>482.71</x:v>
      </x:c>
      <x:c r="R103" s="36" t="n">
        <x:v>264</x:v>
      </x:c>
      <x:c r="S103" s="36" t="n">
        <x:v>218.71</x:v>
      </x:c>
      <x:c r="T103" s="36" t="n">
        <x:v>482.71</x:v>
      </x:c>
      <x:c r="U103" s="38" t="n">
        <x:v>0.4531</x:v>
      </x:c>
    </x:row>
    <x:row r="104">
      <x:c r="A104" s="34" t="n">
        <x:v>103</x:v>
      </x:c>
      <x:c r="B104" s="34" t="n">
        <x:v>37</x:v>
      </x:c>
      <x:c r="C104" t="str">
        <x:v>Karen Martins</x:v>
      </x:c>
      <x:c r="D104" s="32" t="n">
        <x:v>46173</x:v>
      </x:c>
      <x:c r="E104" t="str">
        <x:v>2026-05</x:v>
      </x:c>
      <x:c r="F104" s="34" t="n">
        <x:v>3</x:v>
      </x:c>
      <x:c r="G104" t="str">
        <x:v>ENVIADO</x:v>
      </x:c>
      <x:c r="H104" t="str">
        <x:v>WhatsApp</x:v>
      </x:c>
      <x:c r="I104" t="str">
        <x:v>Cartão crédito</x:v>
      </x:c>
      <x:c r="J104" s="36" t="n">
        <x:v>39.36</x:v>
      </x:c>
      <x:c r="K104" s="34" t="n">
        <x:v>1</x:v>
      </x:c>
      <x:c r="L104" t="str"/>
      <x:c r="M104" s="34" t="n">
        <x:v>3</x:v>
      </x:c>
      <x:c r="N104" s="34" t="n">
        <x:v>3</x:v>
      </x:c>
      <x:c r="O104" s="36" t="n">
        <x:v>779.7</x:v>
      </x:c>
      <x:c r="P104" s="36" t="n">
        <x:v>49.18</x:v>
      </x:c>
      <x:c r="Q104" s="36" t="n">
        <x:v>730.52</x:v>
      </x:c>
      <x:c r="R104" s="36" t="n">
        <x:v>478</x:v>
      </x:c>
      <x:c r="S104" s="36" t="n">
        <x:v>252.52</x:v>
      </x:c>
      <x:c r="T104" s="36" t="n">
        <x:v>730.52</x:v>
      </x:c>
      <x:c r="U104" s="38" t="n">
        <x:v>0.3457</x:v>
      </x:c>
    </x:row>
    <x:row r="105">
      <x:c r="A105" s="34" t="n">
        <x:v>104</x:v>
      </x:c>
      <x:c r="B105" s="34" t="n">
        <x:v>3</x:v>
      </x:c>
      <x:c r="C105" t="str">
        <x:v>Matheus Almeida</x:v>
      </x:c>
      <x:c r="D105" s="32" t="n">
        <x:v>46135</x:v>
      </x:c>
      <x:c r="E105" t="str">
        <x:v>2026-04</x:v>
      </x:c>
      <x:c r="F105" s="34" t="n">
        <x:v>2</x:v>
      </x:c>
      <x:c r="G105" t="str">
        <x:v>EM PROCESSAMENTO</x:v>
      </x:c>
      <x:c r="H105" t="str">
        <x:v>Site</x:v>
      </x:c>
      <x:c r="I105" t="str">
        <x:v>Pix</x:v>
      </x:c>
      <x:c r="J105" s="36" t="n">
        <x:v>32.47</x:v>
      </x:c>
      <x:c r="K105" s="34"/>
      <x:c r="L105" t="str"/>
      <x:c r="M105" s="34" t="n">
        <x:v>5</x:v>
      </x:c>
      <x:c r="N105" s="34" t="n">
        <x:v>3</x:v>
      </x:c>
      <x:c r="O105" s="36" t="n">
        <x:v>489.5</x:v>
      </x:c>
      <x:c r="P105" s="36" t="n">
        <x:v>22.47</x:v>
      </x:c>
      <x:c r="Q105" s="36" t="n">
        <x:v>467.03</x:v>
      </x:c>
      <x:c r="R105" s="36" t="n">
        <x:v>268</x:v>
      </x:c>
      <x:c r="S105" s="36" t="n">
        <x:v>199.03</x:v>
      </x:c>
      <x:c r="T105" s="36" t="n">
        <x:v>467.03</x:v>
      </x:c>
      <x:c r="U105" s="38" t="n">
        <x:v>0.4262</x:v>
      </x:c>
    </x:row>
    <x:row r="106">
      <x:c r="A106" s="34" t="n">
        <x:v>105</x:v>
      </x:c>
      <x:c r="B106" s="34" t="n">
        <x:v>2</x:v>
      </x:c>
      <x:c r="C106" t="str">
        <x:v>Beatriz Costa</x:v>
      </x:c>
      <x:c r="D106" s="32" t="n">
        <x:v>46176</x:v>
      </x:c>
      <x:c r="E106" t="str">
        <x:v>2026-06</x:v>
      </x:c>
      <x:c r="F106" s="34" t="n">
        <x:v>4</x:v>
      </x:c>
      <x:c r="G106" t="str">
        <x:v>ENTREGUE</x:v>
      </x:c>
      <x:c r="H106" t="str">
        <x:v>WhatsApp</x:v>
      </x:c>
      <x:c r="I106" t="str">
        <x:v>Pix</x:v>
      </x:c>
      <x:c r="J106" s="36" t="n">
        <x:v>26.46</x:v>
      </x:c>
      <x:c r="K106" s="34" t="n">
        <x:v>10</x:v>
      </x:c>
      <x:c r="L106" t="str"/>
      <x:c r="M106" s="34" t="n">
        <x:v>2</x:v>
      </x:c>
      <x:c r="N106" s="34" t="n">
        <x:v>1</x:v>
      </x:c>
      <x:c r="O106" s="36" t="n">
        <x:v>519.8</x:v>
      </x:c>
      <x:c r="P106" s="36" t="n">
        <x:v>26</x:v>
      </x:c>
      <x:c r="Q106" s="36" t="n">
        <x:v>493.8</x:v>
      </x:c>
      <x:c r="R106" s="36" t="n">
        <x:v>316</x:v>
      </x:c>
      <x:c r="S106" s="36" t="n">
        <x:v>177.8</x:v>
      </x:c>
      <x:c r="T106" s="36" t="n">
        <x:v>493.8</x:v>
      </x:c>
      <x:c r="U106" s="38" t="n">
        <x:v>0.3601</x:v>
      </x:c>
    </x:row>
    <x:row r="107">
      <x:c r="A107" s="34" t="n">
        <x:v>106</x:v>
      </x:c>
      <x:c r="B107" s="34" t="n">
        <x:v>59</x:v>
      </x:c>
      <x:c r="C107" t="str">
        <x:v>Letícia Souza</x:v>
      </x:c>
      <x:c r="D107" s="32" t="n">
        <x:v>46128</x:v>
      </x:c>
      <x:c r="E107" t="str">
        <x:v>2026-04</x:v>
      </x:c>
      <x:c r="F107" s="34" t="n">
        <x:v>4</x:v>
      </x:c>
      <x:c r="G107" t="str">
        <x:v>ENTREGUE</x:v>
      </x:c>
      <x:c r="H107" t="str">
        <x:v>Site</x:v>
      </x:c>
      <x:c r="I107" t="str">
        <x:v>Pix</x:v>
      </x:c>
      <x:c r="J107" s="36" t="n">
        <x:v>24.76</x:v>
      </x:c>
      <x:c r="K107" s="34" t="n">
        <x:v>3</x:v>
      </x:c>
      <x:c r="L107" t="str"/>
      <x:c r="M107" s="34" t="n">
        <x:v>2</x:v>
      </x:c>
      <x:c r="N107" s="34" t="n">
        <x:v>1</x:v>
      </x:c>
      <x:c r="O107" s="36" t="n">
        <x:v>159.8</x:v>
      </x:c>
      <x:c r="P107" s="36" t="n">
        <x:v>0</x:v>
      </x:c>
      <x:c r="Q107" s="36" t="n">
        <x:v>159.8</x:v>
      </x:c>
      <x:c r="R107" s="36" t="n">
        <x:v>74</x:v>
      </x:c>
      <x:c r="S107" s="36" t="n">
        <x:v>85.8</x:v>
      </x:c>
      <x:c r="T107" s="36" t="n">
        <x:v>159.8</x:v>
      </x:c>
      <x:c r="U107" s="38" t="n">
        <x:v>0.5369</x:v>
      </x:c>
    </x:row>
    <x:row r="108">
      <x:c r="A108" s="34" t="n">
        <x:v>107</x:v>
      </x:c>
      <x:c r="B108" s="34" t="n">
        <x:v>30</x:v>
      </x:c>
      <x:c r="C108" t="str">
        <x:v>Renan Souza</x:v>
      </x:c>
      <x:c r="D108" s="32" t="n">
        <x:v>46177</x:v>
      </x:c>
      <x:c r="E108" t="str">
        <x:v>2026-06</x:v>
      </x:c>
      <x:c r="F108" s="34" t="n">
        <x:v>5</x:v>
      </x:c>
      <x:c r="G108" t="str">
        <x:v>CANCELADO</x:v>
      </x:c>
      <x:c r="H108" t="str">
        <x:v>WhatsApp</x:v>
      </x:c>
      <x:c r="I108" t="str">
        <x:v>Cartão crédito</x:v>
      </x:c>
      <x:c r="J108" s="36" t="n">
        <x:v>45.8</x:v>
      </x:c>
      <x:c r="K108" s="34"/>
      <x:c r="L108" t="str">
        <x:v>Falta de estoque</x:v>
      </x:c>
      <x:c r="M108" s="34" t="n">
        <x:v>2</x:v>
      </x:c>
      <x:c r="N108" s="34" t="n">
        <x:v>2</x:v>
      </x:c>
      <x:c r="O108" s="36" t="n">
        <x:v>899.8</x:v>
      </x:c>
      <x:c r="P108" s="36" t="n">
        <x:v>9.99</x:v>
      </x:c>
      <x:c r="Q108" s="36" t="n">
        <x:v>0</x:v>
      </x:c>
      <x:c r="R108" s="36" t="n">
        <x:v>0</x:v>
      </x:c>
      <x:c r="S108" s="36" t="n">
        <x:v>0</x:v>
      </x:c>
      <x:c r="T108" s="36" t="n">
        <x:v>0</x:v>
      </x:c>
      <x:c r="U108" s="38" t="n">
        <x:v>0</x:v>
      </x:c>
    </x:row>
    <x:row r="109">
      <x:c r="A109" s="34" t="n">
        <x:v>108</x:v>
      </x:c>
      <x:c r="B109" s="34" t="n">
        <x:v>55</x:v>
      </x:c>
      <x:c r="C109" t="str">
        <x:v>Henrique Araujo</x:v>
      </x:c>
      <x:c r="D109" s="32" t="n">
        <x:v>46177</x:v>
      </x:c>
      <x:c r="E109" t="str">
        <x:v>2026-06</x:v>
      </x:c>
      <x:c r="F109" s="34" t="n">
        <x:v>1</x:v>
      </x:c>
      <x:c r="G109" t="str">
        <x:v>PENDENTE</x:v>
      </x:c>
      <x:c r="H109" t="str">
        <x:v>Indicação</x:v>
      </x:c>
      <x:c r="I109" t="str">
        <x:v>Pix</x:v>
      </x:c>
      <x:c r="J109" s="36" t="n">
        <x:v>14.93</x:v>
      </x:c>
      <x:c r="K109" s="34"/>
      <x:c r="L109" t="str"/>
      <x:c r="M109" s="34" t="n">
        <x:v>1</x:v>
      </x:c>
      <x:c r="N109" s="34" t="n">
        <x:v>1</x:v>
      </x:c>
      <x:c r="O109" s="36" t="n">
        <x:v>249.9</x:v>
      </x:c>
      <x:c r="P109" s="36" t="n">
        <x:v>0</x:v>
      </x:c>
      <x:c r="Q109" s="36" t="n">
        <x:v>249.9</x:v>
      </x:c>
      <x:c r="R109" s="36" t="n">
        <x:v>145</x:v>
      </x:c>
      <x:c r="S109" s="36" t="n">
        <x:v>104.9</x:v>
      </x:c>
      <x:c r="T109" s="36" t="n">
        <x:v>249.9</x:v>
      </x:c>
      <x:c r="U109" s="38" t="n">
        <x:v>0.4198</x:v>
      </x:c>
    </x:row>
    <x:row r="110">
      <x:c r="A110" s="34" t="n">
        <x:v>109</x:v>
      </x:c>
      <x:c r="B110" s="34" t="n">
        <x:v>56</x:v>
      </x:c>
      <x:c r="C110" t="str">
        <x:v>Olívia Lima</x:v>
      </x:c>
      <x:c r="D110" s="32" t="n">
        <x:v>46075</x:v>
      </x:c>
      <x:c r="E110" t="str">
        <x:v>2026-02</x:v>
      </x:c>
      <x:c r="F110" s="34" t="n">
        <x:v>3</x:v>
      </x:c>
      <x:c r="G110" t="str">
        <x:v>ENVIADO</x:v>
      </x:c>
      <x:c r="H110" t="str">
        <x:v>Site</x:v>
      </x:c>
      <x:c r="I110" t="str">
        <x:v>Pix</x:v>
      </x:c>
      <x:c r="J110" s="36" t="n">
        <x:v>13.65</x:v>
      </x:c>
      <x:c r="K110" s="34" t="n">
        <x:v>2</x:v>
      </x:c>
      <x:c r="L110" t="str"/>
      <x:c r="M110" s="34" t="n">
        <x:v>3</x:v>
      </x:c>
      <x:c r="N110" s="34" t="n">
        <x:v>2</x:v>
      </x:c>
      <x:c r="O110" s="36" t="n">
        <x:v>699.7</x:v>
      </x:c>
      <x:c r="P110" s="36" t="n">
        <x:v>0</x:v>
      </x:c>
      <x:c r="Q110" s="36" t="n">
        <x:v>699.7</x:v>
      </x:c>
      <x:c r="R110" s="36" t="n">
        <x:v>427</x:v>
      </x:c>
      <x:c r="S110" s="36" t="n">
        <x:v>272.7</x:v>
      </x:c>
      <x:c r="T110" s="36" t="n">
        <x:v>699.7</x:v>
      </x:c>
      <x:c r="U110" s="38" t="n">
        <x:v>0.3897</x:v>
      </x:c>
    </x:row>
    <x:row r="111">
      <x:c r="A111" s="34" t="n">
        <x:v>110</x:v>
      </x:c>
      <x:c r="B111" s="34" t="n">
        <x:v>53</x:v>
      </x:c>
      <x:c r="C111" t="str">
        <x:v>Carla Almeida</x:v>
      </x:c>
      <x:c r="D111" s="32" t="n">
        <x:v>46156</x:v>
      </x:c>
      <x:c r="E111" t="str">
        <x:v>2026-05</x:v>
      </x:c>
      <x:c r="F111" s="34" t="n">
        <x:v>4</x:v>
      </x:c>
      <x:c r="G111" t="str">
        <x:v>ENTREGUE</x:v>
      </x:c>
      <x:c r="H111" t="str">
        <x:v>Site</x:v>
      </x:c>
      <x:c r="I111" t="str">
        <x:v>Cartão débito</x:v>
      </x:c>
      <x:c r="J111" s="36" t="n">
        <x:v>38.55</x:v>
      </x:c>
      <x:c r="K111" s="34" t="n">
        <x:v>3</x:v>
      </x:c>
      <x:c r="L111" t="str"/>
      <x:c r="M111" s="34" t="n">
        <x:v>1</x:v>
      </x:c>
      <x:c r="N111" s="34" t="n">
        <x:v>1</x:v>
      </x:c>
      <x:c r="O111" s="36" t="n">
        <x:v>89.9</x:v>
      </x:c>
      <x:c r="P111" s="36" t="n">
        <x:v>4.49</x:v>
      </x:c>
      <x:c r="Q111" s="36" t="n">
        <x:v>85.41</x:v>
      </x:c>
      <x:c r="R111" s="36" t="n">
        <x:v>48</x:v>
      </x:c>
      <x:c r="S111" s="36" t="n">
        <x:v>37.41</x:v>
      </x:c>
      <x:c r="T111" s="36" t="n">
        <x:v>85.41</x:v>
      </x:c>
      <x:c r="U111" s="38" t="n">
        <x:v>0.438</x:v>
      </x:c>
    </x:row>
    <x:row r="112">
      <x:c r="A112" s="34" t="n">
        <x:v>111</x:v>
      </x:c>
      <x:c r="B112" s="34" t="n">
        <x:v>45</x:v>
      </x:c>
      <x:c r="C112" t="str">
        <x:v>Nicolas Costa</x:v>
      </x:c>
      <x:c r="D112" s="32" t="n">
        <x:v>46037</x:v>
      </x:c>
      <x:c r="E112" t="str">
        <x:v>2026-01</x:v>
      </x:c>
      <x:c r="F112" s="34" t="n">
        <x:v>3</x:v>
      </x:c>
      <x:c r="G112" t="str">
        <x:v>ENVIADO</x:v>
      </x:c>
      <x:c r="H112" t="str">
        <x:v>Indicação</x:v>
      </x:c>
      <x:c r="I112" t="str">
        <x:v>Boleto</x:v>
      </x:c>
      <x:c r="J112" s="36" t="n">
        <x:v>20.01</x:v>
      </x:c>
      <x:c r="K112" s="34" t="n">
        <x:v>5</x:v>
      </x:c>
      <x:c r="L112" t="str"/>
      <x:c r="M112" s="34" t="n">
        <x:v>2</x:v>
      </x:c>
      <x:c r="N112" s="34" t="n">
        <x:v>2</x:v>
      </x:c>
      <x:c r="O112" s="36" t="n">
        <x:v>309.8</x:v>
      </x:c>
      <x:c r="P112" s="36" t="n">
        <x:v>8.49</x:v>
      </x:c>
      <x:c r="Q112" s="36" t="n">
        <x:v>301.31</x:v>
      </x:c>
      <x:c r="R112" s="36" t="n">
        <x:v>167</x:v>
      </x:c>
      <x:c r="S112" s="36" t="n">
        <x:v>134.31</x:v>
      </x:c>
      <x:c r="T112" s="36" t="n">
        <x:v>301.31</x:v>
      </x:c>
      <x:c r="U112" s="38" t="n">
        <x:v>0.4458</x:v>
      </x:c>
    </x:row>
    <x:row r="113">
      <x:c r="A113" s="34" t="n">
        <x:v>112</x:v>
      </x:c>
      <x:c r="B113" s="34" t="n">
        <x:v>32</x:v>
      </x:c>
      <x:c r="C113" t="str">
        <x:v>Caio Gomes</x:v>
      </x:c>
      <x:c r="D113" s="32" t="n">
        <x:v>46054</x:v>
      </x:c>
      <x:c r="E113" t="str">
        <x:v>2026-02</x:v>
      </x:c>
      <x:c r="F113" s="34" t="n">
        <x:v>5</x:v>
      </x:c>
      <x:c r="G113" t="str">
        <x:v>CANCELADO</x:v>
      </x:c>
      <x:c r="H113" t="str">
        <x:v>Site</x:v>
      </x:c>
      <x:c r="I113" t="str">
        <x:v>Pix</x:v>
      </x:c>
      <x:c r="J113" s="36" t="n">
        <x:v>21.09</x:v>
      </x:c>
      <x:c r="K113" s="34"/>
      <x:c r="L113" t="str">
        <x:v>Produto indisponível</x:v>
      </x:c>
      <x:c r="M113" s="34" t="n">
        <x:v>1</x:v>
      </x:c>
      <x:c r="N113" s="34" t="n">
        <x:v>1</x:v>
      </x:c>
      <x:c r="O113" s="36" t="n">
        <x:v>259.9</x:v>
      </x:c>
      <x:c r="P113" s="36" t="n">
        <x:v>0</x:v>
      </x:c>
      <x:c r="Q113" s="36" t="n">
        <x:v>0</x:v>
      </x:c>
      <x:c r="R113" s="36" t="n">
        <x:v>0</x:v>
      </x:c>
      <x:c r="S113" s="36" t="n">
        <x:v>0</x:v>
      </x:c>
      <x:c r="T113" s="36" t="n">
        <x:v>0</x:v>
      </x:c>
      <x:c r="U113" s="38" t="n">
        <x:v>0</x:v>
      </x:c>
    </x:row>
    <x:row r="114">
      <x:c r="A114" s="34" t="n">
        <x:v>113</x:v>
      </x:c>
      <x:c r="B114" s="34" t="n">
        <x:v>25</x:v>
      </x:c>
      <x:c r="C114" t="str">
        <x:v>Renan Carvalho</x:v>
      </x:c>
      <x:c r="D114" s="32" t="n">
        <x:v>46095</x:v>
      </x:c>
      <x:c r="E114" t="str">
        <x:v>2026-03</x:v>
      </x:c>
      <x:c r="F114" s="34" t="n">
        <x:v>4</x:v>
      </x:c>
      <x:c r="G114" t="str">
        <x:v>ENTREGUE</x:v>
      </x:c>
      <x:c r="H114" t="str">
        <x:v>Site</x:v>
      </x:c>
      <x:c r="I114" t="str">
        <x:v>Pix</x:v>
      </x:c>
      <x:c r="J114" s="36" t="n">
        <x:v>25.47</x:v>
      </x:c>
      <x:c r="K114" s="34" t="n">
        <x:v>4</x:v>
      </x:c>
      <x:c r="L114" t="str"/>
      <x:c r="M114" s="34" t="n">
        <x:v>2</x:v>
      </x:c>
      <x:c r="N114" s="34" t="n">
        <x:v>2</x:v>
      </x:c>
      <x:c r="O114" s="36" t="n">
        <x:v>279.8</x:v>
      </x:c>
      <x:c r="P114" s="36" t="n">
        <x:v>3</x:v>
      </x:c>
      <x:c r="Q114" s="36" t="n">
        <x:v>276.8</x:v>
      </x:c>
      <x:c r="R114" s="36" t="n">
        <x:v>153</x:v>
      </x:c>
      <x:c r="S114" s="36" t="n">
        <x:v>123.8</x:v>
      </x:c>
      <x:c r="T114" s="36" t="n">
        <x:v>276.8</x:v>
      </x:c>
      <x:c r="U114" s="38" t="n">
        <x:v>0.4473</x:v>
      </x:c>
    </x:row>
    <x:row r="115">
      <x:c r="A115" s="34" t="n">
        <x:v>114</x:v>
      </x:c>
      <x:c r="B115" s="34" t="n">
        <x:v>2</x:v>
      </x:c>
      <x:c r="C115" t="str">
        <x:v>Beatriz Costa</x:v>
      </x:c>
      <x:c r="D115" s="32" t="n">
        <x:v>46175</x:v>
      </x:c>
      <x:c r="E115" t="str">
        <x:v>2026-06</x:v>
      </x:c>
      <x:c r="F115" s="34" t="n">
        <x:v>3</x:v>
      </x:c>
      <x:c r="G115" t="str">
        <x:v>ENVIADO</x:v>
      </x:c>
      <x:c r="H115" t="str">
        <x:v>Instagram</x:v>
      </x:c>
      <x:c r="I115" t="str">
        <x:v>Cartão crédito</x:v>
      </x:c>
      <x:c r="J115" s="36" t="n">
        <x:v>43.47</x:v>
      </x:c>
      <x:c r="K115" s="34" t="n">
        <x:v>3</x:v>
      </x:c>
      <x:c r="L115" t="str"/>
      <x:c r="M115" s="34" t="n">
        <x:v>2</x:v>
      </x:c>
      <x:c r="N115" s="34" t="n">
        <x:v>1</x:v>
      </x:c>
      <x:c r="O115" s="36" t="n">
        <x:v>659.8</x:v>
      </x:c>
      <x:c r="P115" s="36" t="n">
        <x:v>33</x:v>
      </x:c>
      <x:c r="Q115" s="36" t="n">
        <x:v>626.8</x:v>
      </x:c>
      <x:c r="R115" s="36" t="n">
        <x:v>410</x:v>
      </x:c>
      <x:c r="S115" s="36" t="n">
        <x:v>216.8</x:v>
      </x:c>
      <x:c r="T115" s="36" t="n">
        <x:v>626.8</x:v>
      </x:c>
      <x:c r="U115" s="38" t="n">
        <x:v>0.3459</x:v>
      </x:c>
    </x:row>
    <x:row r="116">
      <x:c r="A116" s="34" t="n">
        <x:v>115</x:v>
      </x:c>
      <x:c r="B116" s="34" t="n">
        <x:v>16</x:v>
      </x:c>
      <x:c r="C116" t="str">
        <x:v>Larissa Martins</x:v>
      </x:c>
      <x:c r="D116" s="32" t="n">
        <x:v>46177</x:v>
      </x:c>
      <x:c r="E116" t="str">
        <x:v>2026-06</x:v>
      </x:c>
      <x:c r="F116" s="34" t="n">
        <x:v>4</x:v>
      </x:c>
      <x:c r="G116" t="str">
        <x:v>ENTREGUE</x:v>
      </x:c>
      <x:c r="H116" t="str">
        <x:v>WhatsApp</x:v>
      </x:c>
      <x:c r="I116" t="str">
        <x:v>Cartão crédito</x:v>
      </x:c>
      <x:c r="J116" s="36" t="n">
        <x:v>30.45</x:v>
      </x:c>
      <x:c r="K116" s="34" t="n">
        <x:v>6</x:v>
      </x:c>
      <x:c r="L116" t="str"/>
      <x:c r="M116" s="34" t="n">
        <x:v>2</x:v>
      </x:c>
      <x:c r="N116" s="34" t="n">
        <x:v>2</x:v>
      </x:c>
      <x:c r="O116" s="36" t="n">
        <x:v>189.8</x:v>
      </x:c>
      <x:c r="P116" s="36" t="n">
        <x:v>0</x:v>
      </x:c>
      <x:c r="Q116" s="36" t="n">
        <x:v>189.8</x:v>
      </x:c>
      <x:c r="R116" s="36" t="n">
        <x:v>94</x:v>
      </x:c>
      <x:c r="S116" s="36" t="n">
        <x:v>95.8</x:v>
      </x:c>
      <x:c r="T116" s="36" t="n">
        <x:v>189.8</x:v>
      </x:c>
      <x:c r="U116" s="38" t="n">
        <x:v>0.5047</x:v>
      </x:c>
    </x:row>
    <x:row r="117">
      <x:c r="A117" s="34" t="n">
        <x:v>116</x:v>
      </x:c>
      <x:c r="B117" s="34" t="n">
        <x:v>39</x:v>
      </x:c>
      <x:c r="C117" t="str">
        <x:v>Eduarda Silva</x:v>
      </x:c>
      <x:c r="D117" s="32" t="n">
        <x:v>46168</x:v>
      </x:c>
      <x:c r="E117" t="str">
        <x:v>2026-05</x:v>
      </x:c>
      <x:c r="F117" s="34" t="n">
        <x:v>4</x:v>
      </x:c>
      <x:c r="G117" t="str">
        <x:v>ENTREGUE</x:v>
      </x:c>
      <x:c r="H117" t="str">
        <x:v>Indicação</x:v>
      </x:c>
      <x:c r="I117" t="str">
        <x:v>Cartão crédito</x:v>
      </x:c>
      <x:c r="J117" s="36" t="n">
        <x:v>37.38</x:v>
      </x:c>
      <x:c r="K117" s="34" t="n">
        <x:v>2</x:v>
      </x:c>
      <x:c r="L117" t="str"/>
      <x:c r="M117" s="34" t="n">
        <x:v>2</x:v>
      </x:c>
      <x:c r="N117" s="34" t="n">
        <x:v>2</x:v>
      </x:c>
      <x:c r="O117" s="36" t="n">
        <x:v>309.8</x:v>
      </x:c>
      <x:c r="P117" s="36" t="n">
        <x:v>16.79</x:v>
      </x:c>
      <x:c r="Q117" s="36" t="n">
        <x:v>293.01</x:v>
      </x:c>
      <x:c r="R117" s="36" t="n">
        <x:v>157</x:v>
      </x:c>
      <x:c r="S117" s="36" t="n">
        <x:v>136.01</x:v>
      </x:c>
      <x:c r="T117" s="36" t="n">
        <x:v>293.01</x:v>
      </x:c>
      <x:c r="U117" s="38" t="n">
        <x:v>0.4642</x:v>
      </x:c>
    </x:row>
    <x:row r="118">
      <x:c r="A118" s="34" t="n">
        <x:v>117</x:v>
      </x:c>
      <x:c r="B118" s="34" t="n">
        <x:v>39</x:v>
      </x:c>
      <x:c r="C118" t="str">
        <x:v>Eduarda Silva</x:v>
      </x:c>
      <x:c r="D118" s="32" t="n">
        <x:v>46064</x:v>
      </x:c>
      <x:c r="E118" t="str">
        <x:v>2026-02</x:v>
      </x:c>
      <x:c r="F118" s="34" t="n">
        <x:v>4</x:v>
      </x:c>
      <x:c r="G118" t="str">
        <x:v>ENTREGUE</x:v>
      </x:c>
      <x:c r="H118" t="str">
        <x:v>Site</x:v>
      </x:c>
      <x:c r="I118" t="str">
        <x:v>Cartão crédito</x:v>
      </x:c>
      <x:c r="J118" s="36" t="n">
        <x:v>49.73</x:v>
      </x:c>
      <x:c r="K118" s="34" t="n">
        <x:v>2</x:v>
      </x:c>
      <x:c r="L118" t="str"/>
      <x:c r="M118" s="34" t="n">
        <x:v>9</x:v>
      </x:c>
      <x:c r="N118" s="34" t="n">
        <x:v>4</x:v>
      </x:c>
      <x:c r="O118" s="36" t="n">
        <x:v>599.1</x:v>
      </x:c>
      <x:c r="P118" s="36" t="n">
        <x:v>12</x:v>
      </x:c>
      <x:c r="Q118" s="36" t="n">
        <x:v>587.1</x:v>
      </x:c>
      <x:c r="R118" s="36" t="n">
        <x:v>286</x:v>
      </x:c>
      <x:c r="S118" s="36" t="n">
        <x:v>301.1</x:v>
      </x:c>
      <x:c r="T118" s="36" t="n">
        <x:v>587.1</x:v>
      </x:c>
      <x:c r="U118" s="38" t="n">
        <x:v>0.5129</x:v>
      </x:c>
    </x:row>
    <x:row r="119">
      <x:c r="A119" s="34" t="n">
        <x:v>118</x:v>
      </x:c>
      <x:c r="B119" s="34" t="n">
        <x:v>29</x:v>
      </x:c>
      <x:c r="C119" t="str">
        <x:v>Thiago Carvalho</x:v>
      </x:c>
      <x:c r="D119" s="32" t="n">
        <x:v>46036</x:v>
      </x:c>
      <x:c r="E119" t="str">
        <x:v>2026-01</x:v>
      </x:c>
      <x:c r="F119" s="34" t="n">
        <x:v>4</x:v>
      </x:c>
      <x:c r="G119" t="str">
        <x:v>ENTREGUE</x:v>
      </x:c>
      <x:c r="H119" t="str">
        <x:v>Site</x:v>
      </x:c>
      <x:c r="I119" t="str">
        <x:v>Cartão crédito</x:v>
      </x:c>
      <x:c r="J119" s="36" t="n">
        <x:v>48.81</x:v>
      </x:c>
      <x:c r="K119" s="34" t="n">
        <x:v>4</x:v>
      </x:c>
      <x:c r="L119" t="str"/>
      <x:c r="M119" s="34" t="n">
        <x:v>3</x:v>
      </x:c>
      <x:c r="N119" s="34" t="n">
        <x:v>3</x:v>
      </x:c>
      <x:c r="O119" s="36" t="n">
        <x:v>489.7</x:v>
      </x:c>
      <x:c r="P119" s="36" t="n">
        <x:v>26.49</x:v>
      </x:c>
      <x:c r="Q119" s="36" t="n">
        <x:v>463.21</x:v>
      </x:c>
      <x:c r="R119" s="36" t="n">
        <x:v>273</x:v>
      </x:c>
      <x:c r="S119" s="36" t="n">
        <x:v>190.21</x:v>
      </x:c>
      <x:c r="T119" s="36" t="n">
        <x:v>463.21</x:v>
      </x:c>
      <x:c r="U119" s="38" t="n">
        <x:v>0.4106</x:v>
      </x:c>
    </x:row>
    <x:row r="120">
      <x:c r="A120" s="34" t="n">
        <x:v>119</x:v>
      </x:c>
      <x:c r="B120" s="34" t="n">
        <x:v>27</x:v>
      </x:c>
      <x:c r="C120" t="str">
        <x:v>Rodrigo Almeida</x:v>
      </x:c>
      <x:c r="D120" s="32" t="n">
        <x:v>46176</x:v>
      </x:c>
      <x:c r="E120" t="str">
        <x:v>2026-06</x:v>
      </x:c>
      <x:c r="F120" s="34" t="n">
        <x:v>4</x:v>
      </x:c>
      <x:c r="G120" t="str">
        <x:v>ENTREGUE</x:v>
      </x:c>
      <x:c r="H120" t="str">
        <x:v>WhatsApp</x:v>
      </x:c>
      <x:c r="I120" t="str">
        <x:v>Cartão crédito</x:v>
      </x:c>
      <x:c r="J120" s="36" t="n">
        <x:v>39.52</x:v>
      </x:c>
      <x:c r="K120" s="34" t="n">
        <x:v>7</x:v>
      </x:c>
      <x:c r="L120" t="str"/>
      <x:c r="M120" s="34" t="n">
        <x:v>2</x:v>
      </x:c>
      <x:c r="N120" s="34" t="n">
        <x:v>2</x:v>
      </x:c>
      <x:c r="O120" s="36" t="n">
        <x:v>279.8</x:v>
      </x:c>
      <x:c r="P120" s="36" t="n">
        <x:v>11.09</x:v>
      </x:c>
      <x:c r="Q120" s="36" t="n">
        <x:v>268.71</x:v>
      </x:c>
      <x:c r="R120" s="36" t="n">
        <x:v>155</x:v>
      </x:c>
      <x:c r="S120" s="36" t="n">
        <x:v>113.71</x:v>
      </x:c>
      <x:c r="T120" s="36" t="n">
        <x:v>268.71</x:v>
      </x:c>
      <x:c r="U120" s="38" t="n">
        <x:v>0.4232</x:v>
      </x:c>
    </x:row>
    <x:row r="121">
      <x:c r="A121" s="34" t="n">
        <x:v>120</x:v>
      </x:c>
      <x:c r="B121" s="34" t="n">
        <x:v>26</x:v>
      </x:c>
      <x:c r="C121" t="str">
        <x:v>Pedro Almeida</x:v>
      </x:c>
      <x:c r="D121" s="32" t="n">
        <x:v>46049</x:v>
      </x:c>
      <x:c r="E121" t="str">
        <x:v>2026-01</x:v>
      </x:c>
      <x:c r="F121" s="34" t="n">
        <x:v>4</x:v>
      </x:c>
      <x:c r="G121" t="str">
        <x:v>ENTREGUE</x:v>
      </x:c>
      <x:c r="H121" t="str">
        <x:v>Site</x:v>
      </x:c>
      <x:c r="I121" t="str">
        <x:v>Cartão crédito</x:v>
      </x:c>
      <x:c r="J121" s="36" t="n">
        <x:v>43.33</x:v>
      </x:c>
      <x:c r="K121" s="34" t="n">
        <x:v>3</x:v>
      </x:c>
      <x:c r="L121" t="str"/>
      <x:c r="M121" s="34" t="n">
        <x:v>7</x:v>
      </x:c>
      <x:c r="N121" s="34" t="n">
        <x:v>4</x:v>
      </x:c>
      <x:c r="O121" s="36" t="n">
        <x:v>1099.3</x:v>
      </x:c>
      <x:c r="P121" s="36" t="n">
        <x:v>24.98</x:v>
      </x:c>
      <x:c r="Q121" s="36" t="n">
        <x:v>1074.32</x:v>
      </x:c>
      <x:c r="R121" s="36" t="n">
        <x:v>615</x:v>
      </x:c>
      <x:c r="S121" s="36" t="n">
        <x:v>459.32</x:v>
      </x:c>
      <x:c r="T121" s="36" t="n">
        <x:v>1074.32</x:v>
      </x:c>
      <x:c r="U121" s="38" t="n">
        <x:v>0.4275</x:v>
      </x:c>
    </x:row>
    <x:row r="122">
      <x:c r="A122" s="34" t="n">
        <x:v>121</x:v>
      </x:c>
      <x:c r="B122" s="34" t="n">
        <x:v>23</x:v>
      </x:c>
      <x:c r="C122" t="str">
        <x:v>Matheus Silva</x:v>
      </x:c>
      <x:c r="D122" s="32" t="n">
        <x:v>46178</x:v>
      </x:c>
      <x:c r="E122" t="str">
        <x:v>2026-06</x:v>
      </x:c>
      <x:c r="F122" s="34" t="n">
        <x:v>4</x:v>
      </x:c>
      <x:c r="G122" t="str">
        <x:v>ENTREGUE</x:v>
      </x:c>
      <x:c r="H122" t="str">
        <x:v>WhatsApp</x:v>
      </x:c>
      <x:c r="I122" t="str">
        <x:v>Cartão crédito</x:v>
      </x:c>
      <x:c r="J122" s="36" t="n">
        <x:v>42.31</x:v>
      </x:c>
      <x:c r="K122" s="34" t="n">
        <x:v>2</x:v>
      </x:c>
      <x:c r="L122" t="str"/>
      <x:c r="M122" s="34" t="n">
        <x:v>1</x:v>
      </x:c>
      <x:c r="N122" s="34" t="n">
        <x:v>1</x:v>
      </x:c>
      <x:c r="O122" s="36" t="n">
        <x:v>149.9</x:v>
      </x:c>
      <x:c r="P122" s="36" t="n">
        <x:v>0</x:v>
      </x:c>
      <x:c r="Q122" s="36" t="n">
        <x:v>149.9</x:v>
      </x:c>
      <x:c r="R122" s="36" t="n">
        <x:v>73</x:v>
      </x:c>
      <x:c r="S122" s="36" t="n">
        <x:v>76.9</x:v>
      </x:c>
      <x:c r="T122" s="36" t="n">
        <x:v>149.9</x:v>
      </x:c>
      <x:c r="U122" s="38" t="n">
        <x:v>0.513</x:v>
      </x:c>
    </x:row>
    <x:row r="123">
      <x:c r="A123" s="34" t="n">
        <x:v>122</x:v>
      </x:c>
      <x:c r="B123" s="34" t="n">
        <x:v>8</x:v>
      </x:c>
      <x:c r="C123" t="str">
        <x:v>Mariana Pereira</x:v>
      </x:c>
      <x:c r="D123" s="32" t="n">
        <x:v>46045</x:v>
      </x:c>
      <x:c r="E123" t="str">
        <x:v>2026-01</x:v>
      </x:c>
      <x:c r="F123" s="34" t="n">
        <x:v>4</x:v>
      </x:c>
      <x:c r="G123" t="str">
        <x:v>ENTREGUE</x:v>
      </x:c>
      <x:c r="H123" t="str">
        <x:v>Indicação</x:v>
      </x:c>
      <x:c r="I123" t="str">
        <x:v>Cartão crédito</x:v>
      </x:c>
      <x:c r="J123" s="36" t="n">
        <x:v>34.08</x:v>
      </x:c>
      <x:c r="K123" s="34" t="n">
        <x:v>7</x:v>
      </x:c>
      <x:c r="L123" t="str"/>
      <x:c r="M123" s="34" t="n">
        <x:v>2</x:v>
      </x:c>
      <x:c r="N123" s="34" t="n">
        <x:v>1</x:v>
      </x:c>
      <x:c r="O123" s="36" t="n">
        <x:v>59.8</x:v>
      </x:c>
      <x:c r="P123" s="36" t="n">
        <x:v>0</x:v>
      </x:c>
      <x:c r="Q123" s="36" t="n">
        <x:v>59.8</x:v>
      </x:c>
      <x:c r="R123" s="36" t="n">
        <x:v>20</x:v>
      </x:c>
      <x:c r="S123" s="36" t="n">
        <x:v>39.8</x:v>
      </x:c>
      <x:c r="T123" s="36" t="n">
        <x:v>59.8</x:v>
      </x:c>
      <x:c r="U123" s="38" t="n">
        <x:v>0.6656</x:v>
      </x:c>
    </x:row>
    <x:row r="124">
      <x:c r="A124" s="34" t="n">
        <x:v>123</x:v>
      </x:c>
      <x:c r="B124" s="34" t="n">
        <x:v>30</x:v>
      </x:c>
      <x:c r="C124" t="str">
        <x:v>Renan Souza</x:v>
      </x:c>
      <x:c r="D124" s="32" t="n">
        <x:v>46178</x:v>
      </x:c>
      <x:c r="E124" t="str">
        <x:v>2026-06</x:v>
      </x:c>
      <x:c r="F124" s="34" t="n">
        <x:v>3</x:v>
      </x:c>
      <x:c r="G124" t="str">
        <x:v>ENVIADO</x:v>
      </x:c>
      <x:c r="H124" t="str">
        <x:v>WhatsApp</x:v>
      </x:c>
      <x:c r="I124" t="str">
        <x:v>Cartão crédito</x:v>
      </x:c>
      <x:c r="J124" s="36" t="n">
        <x:v>22.9</x:v>
      </x:c>
      <x:c r="K124" s="34" t="n">
        <x:v>2</x:v>
      </x:c>
      <x:c r="L124" t="str"/>
      <x:c r="M124" s="34" t="n">
        <x:v>1</x:v>
      </x:c>
      <x:c r="N124" s="34" t="n">
        <x:v>1</x:v>
      </x:c>
      <x:c r="O124" s="36" t="n">
        <x:v>119.9</x:v>
      </x:c>
      <x:c r="P124" s="36" t="n">
        <x:v>3.6</x:v>
      </x:c>
      <x:c r="Q124" s="36" t="n">
        <x:v>116.3</x:v>
      </x:c>
      <x:c r="R124" s="36" t="n">
        <x:v>58</x:v>
      </x:c>
      <x:c r="S124" s="36" t="n">
        <x:v>58.3</x:v>
      </x:c>
      <x:c r="T124" s="36" t="n">
        <x:v>116.3</x:v>
      </x:c>
      <x:c r="U124" s="38" t="n">
        <x:v>0.5013</x:v>
      </x:c>
    </x:row>
    <x:row r="125">
      <x:c r="A125" s="34" t="n">
        <x:v>124</x:v>
      </x:c>
      <x:c r="B125" s="34" t="n">
        <x:v>46</x:v>
      </x:c>
      <x:c r="C125" t="str">
        <x:v>Bruno Ribeiro</x:v>
      </x:c>
      <x:c r="D125" s="32" t="n">
        <x:v>46034</x:v>
      </x:c>
      <x:c r="E125" t="str">
        <x:v>2026-01</x:v>
      </x:c>
      <x:c r="F125" s="34" t="n">
        <x:v>4</x:v>
      </x:c>
      <x:c r="G125" t="str">
        <x:v>ENTREGUE</x:v>
      </x:c>
      <x:c r="H125" t="str">
        <x:v>Instagram</x:v>
      </x:c>
      <x:c r="I125" t="str">
        <x:v>Cartão crédito</x:v>
      </x:c>
      <x:c r="J125" s="36" t="n">
        <x:v>33.31</x:v>
      </x:c>
      <x:c r="K125" s="34" t="n">
        <x:v>1</x:v>
      </x:c>
      <x:c r="L125" t="str"/>
      <x:c r="M125" s="34" t="n">
        <x:v>1</x:v>
      </x:c>
      <x:c r="N125" s="34" t="n">
        <x:v>1</x:v>
      </x:c>
      <x:c r="O125" s="36" t="n">
        <x:v>39.9</x:v>
      </x:c>
      <x:c r="P125" s="36" t="n">
        <x:v>0</x:v>
      </x:c>
      <x:c r="Q125" s="36" t="n">
        <x:v>39.9</x:v>
      </x:c>
      <x:c r="R125" s="36" t="n">
        <x:v>17</x:v>
      </x:c>
      <x:c r="S125" s="36" t="n">
        <x:v>22.9</x:v>
      </x:c>
      <x:c r="T125" s="36" t="n">
        <x:v>39.9</x:v>
      </x:c>
      <x:c r="U125" s="38" t="n">
        <x:v>0.5739</x:v>
      </x:c>
    </x:row>
    <x:row r="126">
      <x:c r="A126" s="34" t="n">
        <x:v>125</x:v>
      </x:c>
      <x:c r="B126" s="34" t="n">
        <x:v>43</x:v>
      </x:c>
      <x:c r="C126" t="str">
        <x:v>Caio Souza</x:v>
      </x:c>
      <x:c r="D126" s="32" t="n">
        <x:v>46043</x:v>
      </x:c>
      <x:c r="E126" t="str">
        <x:v>2026-01</x:v>
      </x:c>
      <x:c r="F126" s="34" t="n">
        <x:v>2</x:v>
      </x:c>
      <x:c r="G126" t="str">
        <x:v>EM PROCESSAMENTO</x:v>
      </x:c>
      <x:c r="H126" t="str">
        <x:v>Indicação</x:v>
      </x:c>
      <x:c r="I126" t="str">
        <x:v>Cartão crédito</x:v>
      </x:c>
      <x:c r="J126" s="36" t="n">
        <x:v>21.11</x:v>
      </x:c>
      <x:c r="K126" s="34"/>
      <x:c r="L126" t="str"/>
      <x:c r="M126" s="34" t="n">
        <x:v>4</x:v>
      </x:c>
      <x:c r="N126" s="34" t="n">
        <x:v>3</x:v>
      </x:c>
      <x:c r="O126" s="36" t="n">
        <x:v>1209.6</x:v>
      </x:c>
      <x:c r="P126" s="36" t="n">
        <x:v>35.6</x:v>
      </x:c>
      <x:c r="Q126" s="36" t="n">
        <x:v>1174</x:v>
      </x:c>
      <x:c r="R126" s="36" t="n">
        <x:v>760</x:v>
      </x:c>
      <x:c r="S126" s="36" t="n">
        <x:v>414</x:v>
      </x:c>
      <x:c r="T126" s="36" t="n">
        <x:v>1174</x:v>
      </x:c>
      <x:c r="U126" s="38" t="n">
        <x:v>0.3526</x:v>
      </x:c>
    </x:row>
    <x:row r="127">
      <x:c r="A127" s="34" t="n">
        <x:v>126</x:v>
      </x:c>
      <x:c r="B127" s="34" t="n">
        <x:v>20</x:v>
      </x:c>
      <x:c r="C127" t="str">
        <x:v>Henrique Silva</x:v>
      </x:c>
      <x:c r="D127" s="32" t="n">
        <x:v>46177</x:v>
      </x:c>
      <x:c r="E127" t="str">
        <x:v>2026-06</x:v>
      </x:c>
      <x:c r="F127" s="34" t="n">
        <x:v>2</x:v>
      </x:c>
      <x:c r="G127" t="str">
        <x:v>EM PROCESSAMENTO</x:v>
      </x:c>
      <x:c r="H127" t="str">
        <x:v>Site</x:v>
      </x:c>
      <x:c r="I127" t="str">
        <x:v>Cartão crédito</x:v>
      </x:c>
      <x:c r="J127" s="36" t="n">
        <x:v>18.02</x:v>
      </x:c>
      <x:c r="K127" s="34"/>
      <x:c r="L127" t="str"/>
      <x:c r="M127" s="34" t="n">
        <x:v>2</x:v>
      </x:c>
      <x:c r="N127" s="34" t="n">
        <x:v>1</x:v>
      </x:c>
      <x:c r="O127" s="36" t="n">
        <x:v>59.8</x:v>
      </x:c>
      <x:c r="P127" s="36" t="n">
        <x:v>1.8</x:v>
      </x:c>
      <x:c r="Q127" s="36" t="n">
        <x:v>58</x:v>
      </x:c>
      <x:c r="R127" s="36" t="n">
        <x:v>20</x:v>
      </x:c>
      <x:c r="S127" s="36" t="n">
        <x:v>38</x:v>
      </x:c>
      <x:c r="T127" s="36" t="n">
        <x:v>58</x:v>
      </x:c>
      <x:c r="U127" s="38" t="n">
        <x:v>0.6552</x:v>
      </x:c>
    </x:row>
    <x:row r="128">
      <x:c r="A128" s="34" t="n">
        <x:v>127</x:v>
      </x:c>
      <x:c r="B128" s="34" t="n">
        <x:v>60</x:v>
      </x:c>
      <x:c r="C128" t="str">
        <x:v>Mariana Araujo</x:v>
      </x:c>
      <x:c r="D128" s="32" t="n">
        <x:v>46066</x:v>
      </x:c>
      <x:c r="E128" t="str">
        <x:v>2026-02</x:v>
      </x:c>
      <x:c r="F128" s="34" t="n">
        <x:v>4</x:v>
      </x:c>
      <x:c r="G128" t="str">
        <x:v>ENTREGUE</x:v>
      </x:c>
      <x:c r="H128" t="str">
        <x:v>Site</x:v>
      </x:c>
      <x:c r="I128" t="str">
        <x:v>Cartão crédito</x:v>
      </x:c>
      <x:c r="J128" s="36" t="n">
        <x:v>22.32</x:v>
      </x:c>
      <x:c r="K128" s="34" t="n">
        <x:v>7</x:v>
      </x:c>
      <x:c r="L128" t="str"/>
      <x:c r="M128" s="34" t="n">
        <x:v>4</x:v>
      </x:c>
      <x:c r="N128" s="34" t="n">
        <x:v>4</x:v>
      </x:c>
      <x:c r="O128" s="36" t="n">
        <x:v>689.6</x:v>
      </x:c>
      <x:c r="P128" s="36" t="n">
        <x:v>31.59</x:v>
      </x:c>
      <x:c r="Q128" s="36" t="n">
        <x:v>658.01</x:v>
      </x:c>
      <x:c r="R128" s="36" t="n">
        <x:v>397</x:v>
      </x:c>
      <x:c r="S128" s="36" t="n">
        <x:v>261.01</x:v>
      </x:c>
      <x:c r="T128" s="36" t="n">
        <x:v>658.01</x:v>
      </x:c>
      <x:c r="U128" s="38" t="n">
        <x:v>0.3967</x:v>
      </x:c>
    </x:row>
    <x:row r="129">
      <x:c r="A129" s="34" t="n">
        <x:v>128</x:v>
      </x:c>
      <x:c r="B129" s="34" t="n">
        <x:v>18</x:v>
      </x:c>
      <x:c r="C129" t="str">
        <x:v>Thiago Nascimento</x:v>
      </x:c>
      <x:c r="D129" s="32" t="n">
        <x:v>46110</x:v>
      </x:c>
      <x:c r="E129" t="str">
        <x:v>2026-03</x:v>
      </x:c>
      <x:c r="F129" s="34" t="n">
        <x:v>4</x:v>
      </x:c>
      <x:c r="G129" t="str">
        <x:v>ENTREGUE</x:v>
      </x:c>
      <x:c r="H129" t="str">
        <x:v>WhatsApp</x:v>
      </x:c>
      <x:c r="I129" t="str">
        <x:v>Cartão crédito</x:v>
      </x:c>
      <x:c r="J129" s="36" t="n">
        <x:v>12</x:v>
      </x:c>
      <x:c r="K129" s="34" t="n">
        <x:v>5</x:v>
      </x:c>
      <x:c r="L129" t="str"/>
      <x:c r="M129" s="34" t="n">
        <x:v>2</x:v>
      </x:c>
      <x:c r="N129" s="34" t="n">
        <x:v>1</x:v>
      </x:c>
      <x:c r="O129" s="36" t="n">
        <x:v>79.8</x:v>
      </x:c>
      <x:c r="P129" s="36" t="n">
        <x:v>0</x:v>
      </x:c>
      <x:c r="Q129" s="36" t="n">
        <x:v>79.8</x:v>
      </x:c>
      <x:c r="R129" s="36" t="n">
        <x:v>34</x:v>
      </x:c>
      <x:c r="S129" s="36" t="n">
        <x:v>45.8</x:v>
      </x:c>
      <x:c r="T129" s="36" t="n">
        <x:v>79.8</x:v>
      </x:c>
      <x:c r="U129" s="38" t="n">
        <x:v>0.5739</x:v>
      </x:c>
    </x:row>
    <x:row r="130">
      <x:c r="A130" s="34" t="n">
        <x:v>129</x:v>
      </x:c>
      <x:c r="B130" s="34" t="n">
        <x:v>24</x:v>
      </x:c>
      <x:c r="C130" t="str">
        <x:v>Gabriela Nascimento</x:v>
      </x:c>
      <x:c r="D130" s="32" t="n">
        <x:v>46106</x:v>
      </x:c>
      <x:c r="E130" t="str">
        <x:v>2026-03</x:v>
      </x:c>
      <x:c r="F130" s="34" t="n">
        <x:v>4</x:v>
      </x:c>
      <x:c r="G130" t="str">
        <x:v>ENTREGUE</x:v>
      </x:c>
      <x:c r="H130" t="str">
        <x:v>WhatsApp</x:v>
      </x:c>
      <x:c r="I130" t="str">
        <x:v>Pix</x:v>
      </x:c>
      <x:c r="J130" s="36" t="n">
        <x:v>16.95</x:v>
      </x:c>
      <x:c r="K130" s="34" t="n">
        <x:v>4</x:v>
      </x:c>
      <x:c r="L130" t="str"/>
      <x:c r="M130" s="34" t="n">
        <x:v>3</x:v>
      </x:c>
      <x:c r="N130" s="34" t="n">
        <x:v>2</x:v>
      </x:c>
      <x:c r="O130" s="36" t="n">
        <x:v>349.7</x:v>
      </x:c>
      <x:c r="P130" s="36" t="n">
        <x:v>11.99</x:v>
      </x:c>
      <x:c r="Q130" s="36" t="n">
        <x:v>337.71</x:v>
      </x:c>
      <x:c r="R130" s="36" t="n">
        <x:v>165</x:v>
      </x:c>
      <x:c r="S130" s="36" t="n">
        <x:v>172.71</x:v>
      </x:c>
      <x:c r="T130" s="36" t="n">
        <x:v>337.71</x:v>
      </x:c>
      <x:c r="U130" s="38" t="n">
        <x:v>0.5114</x:v>
      </x:c>
    </x:row>
    <x:row r="131">
      <x:c r="A131" s="34" t="n">
        <x:v>130</x:v>
      </x:c>
      <x:c r="B131" s="34" t="n">
        <x:v>56</x:v>
      </x:c>
      <x:c r="C131" t="str">
        <x:v>Olívia Lima</x:v>
      </x:c>
      <x:c r="D131" s="32" t="n">
        <x:v>46176</x:v>
      </x:c>
      <x:c r="E131" t="str">
        <x:v>2026-06</x:v>
      </x:c>
      <x:c r="F131" s="34" t="n">
        <x:v>1</x:v>
      </x:c>
      <x:c r="G131" t="str">
        <x:v>PENDENTE</x:v>
      </x:c>
      <x:c r="H131" t="str">
        <x:v>Site</x:v>
      </x:c>
      <x:c r="I131" t="str">
        <x:v>Pix</x:v>
      </x:c>
      <x:c r="J131" s="36" t="n">
        <x:v>13.14</x:v>
      </x:c>
      <x:c r="K131" s="34"/>
      <x:c r="L131" t="str"/>
      <x:c r="M131" s="34" t="n">
        <x:v>5</x:v>
      </x:c>
      <x:c r="N131" s="34" t="n">
        <x:v>4</x:v>
      </x:c>
      <x:c r="O131" s="36" t="n">
        <x:v>1929.5</x:v>
      </x:c>
      <x:c r="P131" s="36" t="n">
        <x:v>0</x:v>
      </x:c>
      <x:c r="Q131" s="36" t="n">
        <x:v>1929.5</x:v>
      </x:c>
      <x:c r="R131" s="36" t="n">
        <x:v>1319</x:v>
      </x:c>
      <x:c r="S131" s="36" t="n">
        <x:v>610.5</x:v>
      </x:c>
      <x:c r="T131" s="36" t="n">
        <x:v>1929.5</x:v>
      </x:c>
      <x:c r="U131" s="38" t="n">
        <x:v>0.3164</x:v>
      </x:c>
    </x:row>
    <x:row r="132">
      <x:c r="A132" s="34" t="n">
        <x:v>131</x:v>
      </x:c>
      <x:c r="B132" s="34" t="n">
        <x:v>55</x:v>
      </x:c>
      <x:c r="C132" t="str">
        <x:v>Henrique Araujo</x:v>
      </x:c>
      <x:c r="D132" s="32" t="n">
        <x:v>46032</x:v>
      </x:c>
      <x:c r="E132" t="str">
        <x:v>2026-01</x:v>
      </x:c>
      <x:c r="F132" s="34" t="n">
        <x:v>4</x:v>
      </x:c>
      <x:c r="G132" t="str">
        <x:v>ENTREGUE</x:v>
      </x:c>
      <x:c r="H132" t="str">
        <x:v>Site</x:v>
      </x:c>
      <x:c r="I132" t="str">
        <x:v>Cartão crédito</x:v>
      </x:c>
      <x:c r="J132" s="36" t="n">
        <x:v>41.76</x:v>
      </x:c>
      <x:c r="K132" s="34" t="n">
        <x:v>5</x:v>
      </x:c>
      <x:c r="L132" t="str"/>
      <x:c r="M132" s="34" t="n">
        <x:v>3</x:v>
      </x:c>
      <x:c r="N132" s="34" t="n">
        <x:v>2</x:v>
      </x:c>
      <x:c r="O132" s="36" t="n">
        <x:v>409.7</x:v>
      </x:c>
      <x:c r="P132" s="36" t="n">
        <x:v>0</x:v>
      </x:c>
      <x:c r="Q132" s="36" t="n">
        <x:v>409.7</x:v>
      </x:c>
      <x:c r="R132" s="36" t="n">
        <x:v>219</x:v>
      </x:c>
      <x:c r="S132" s="36" t="n">
        <x:v>190.7</x:v>
      </x:c>
      <x:c r="T132" s="36" t="n">
        <x:v>409.7</x:v>
      </x:c>
      <x:c r="U132" s="38" t="n">
        <x:v>0.4655</x:v>
      </x:c>
    </x:row>
    <x:row r="133">
      <x:c r="A133" s="34" t="n">
        <x:v>132</x:v>
      </x:c>
      <x:c r="B133" s="34" t="n">
        <x:v>54</x:v>
      </x:c>
      <x:c r="C133" t="str">
        <x:v>Eduarda Gomes</x:v>
      </x:c>
      <x:c r="D133" s="32" t="n">
        <x:v>46178</x:v>
      </x:c>
      <x:c r="E133" t="str">
        <x:v>2026-06</x:v>
      </x:c>
      <x:c r="F133" s="34" t="n">
        <x:v>2</x:v>
      </x:c>
      <x:c r="G133" t="str">
        <x:v>EM PROCESSAMENTO</x:v>
      </x:c>
      <x:c r="H133" t="str">
        <x:v>WhatsApp</x:v>
      </x:c>
      <x:c r="I133" t="str">
        <x:v>Pix</x:v>
      </x:c>
      <x:c r="J133" s="36" t="n">
        <x:v>14.12</x:v>
      </x:c>
      <x:c r="K133" s="34"/>
      <x:c r="L133" t="str"/>
      <x:c r="M133" s="34" t="n">
        <x:v>4</x:v>
      </x:c>
      <x:c r="N133" s="34" t="n">
        <x:v>2</x:v>
      </x:c>
      <x:c r="O133" s="36" t="n">
        <x:v>1159.6</x:v>
      </x:c>
      <x:c r="P133" s="36" t="n">
        <x:v>0</x:v>
      </x:c>
      <x:c r="Q133" s="36" t="n">
        <x:v>1159.6</x:v>
      </x:c>
      <x:c r="R133" s="36" t="n">
        <x:v>713</x:v>
      </x:c>
      <x:c r="S133" s="36" t="n">
        <x:v>446.6</x:v>
      </x:c>
      <x:c r="T133" s="36" t="n">
        <x:v>1159.6</x:v>
      </x:c>
      <x:c r="U133" s="38" t="n">
        <x:v>0.3851</x:v>
      </x:c>
    </x:row>
    <x:row r="134">
      <x:c r="A134" s="34" t="n">
        <x:v>133</x:v>
      </x:c>
      <x:c r="B134" s="34" t="n">
        <x:v>21</x:v>
      </x:c>
      <x:c r="C134" t="str">
        <x:v>Henrique Pereira</x:v>
      </x:c>
      <x:c r="D134" s="32" t="n">
        <x:v>46116</x:v>
      </x:c>
      <x:c r="E134" t="str">
        <x:v>2026-04</x:v>
      </x:c>
      <x:c r="F134" s="34" t="n">
        <x:v>5</x:v>
      </x:c>
      <x:c r="G134" t="str">
        <x:v>CANCELADO</x:v>
      </x:c>
      <x:c r="H134" t="str">
        <x:v>WhatsApp</x:v>
      </x:c>
      <x:c r="I134" t="str">
        <x:v>Pix</x:v>
      </x:c>
      <x:c r="J134" s="36" t="n">
        <x:v>12.07</x:v>
      </x:c>
      <x:c r="K134" s="34"/>
      <x:c r="L134" t="str">
        <x:v>Falha na aprovação do pedido</x:v>
      </x:c>
      <x:c r="M134" s="34" t="n">
        <x:v>2</x:v>
      </x:c>
      <x:c r="N134" s="34" t="n">
        <x:v>2</x:v>
      </x:c>
      <x:c r="O134" s="36" t="n">
        <x:v>279.8</x:v>
      </x:c>
      <x:c r="P134" s="36" t="n">
        <x:v>5.7</x:v>
      </x:c>
      <x:c r="Q134" s="36" t="n">
        <x:v>0</x:v>
      </x:c>
      <x:c r="R134" s="36" t="n">
        <x:v>0</x:v>
      </x:c>
      <x:c r="S134" s="36" t="n">
        <x:v>0</x:v>
      </x:c>
      <x:c r="T134" s="36" t="n">
        <x:v>0</x:v>
      </x:c>
      <x:c r="U134" s="38" t="n">
        <x:v>0</x:v>
      </x:c>
    </x:row>
    <x:row r="135">
      <x:c r="A135" s="34" t="n">
        <x:v>134</x:v>
      </x:c>
      <x:c r="B135" s="34" t="n">
        <x:v>18</x:v>
      </x:c>
      <x:c r="C135" t="str">
        <x:v>Thiago Nascimento</x:v>
      </x:c>
      <x:c r="D135" s="32" t="n">
        <x:v>46102</x:v>
      </x:c>
      <x:c r="E135" t="str">
        <x:v>2026-03</x:v>
      </x:c>
      <x:c r="F135" s="34" t="n">
        <x:v>3</x:v>
      </x:c>
      <x:c r="G135" t="str">
        <x:v>ENVIADO</x:v>
      </x:c>
      <x:c r="H135" t="str">
        <x:v>Site</x:v>
      </x:c>
      <x:c r="I135" t="str">
        <x:v>Cartão débito</x:v>
      </x:c>
      <x:c r="J135" s="36" t="n">
        <x:v>45.75</x:v>
      </x:c>
      <x:c r="K135" s="34" t="n">
        <x:v>1</x:v>
      </x:c>
      <x:c r="L135" t="str"/>
      <x:c r="M135" s="34" t="n">
        <x:v>3</x:v>
      </x:c>
      <x:c r="N135" s="34" t="n">
        <x:v>1</x:v>
      </x:c>
      <x:c r="O135" s="36" t="n">
        <x:v>119.7</x:v>
      </x:c>
      <x:c r="P135" s="36" t="n">
        <x:v>0</x:v>
      </x:c>
      <x:c r="Q135" s="36" t="n">
        <x:v>119.7</x:v>
      </x:c>
      <x:c r="R135" s="36" t="n">
        <x:v>51</x:v>
      </x:c>
      <x:c r="S135" s="36" t="n">
        <x:v>68.7</x:v>
      </x:c>
      <x:c r="T135" s="36" t="n">
        <x:v>119.7</x:v>
      </x:c>
      <x:c r="U135" s="38" t="n">
        <x:v>0.5739</x:v>
      </x:c>
    </x:row>
    <x:row r="136">
      <x:c r="A136" s="34" t="n">
        <x:v>135</x:v>
      </x:c>
      <x:c r="B136" s="34" t="n">
        <x:v>54</x:v>
      </x:c>
      <x:c r="C136" t="str">
        <x:v>Eduarda Gomes</x:v>
      </x:c>
      <x:c r="D136" s="32" t="n">
        <x:v>46122</x:v>
      </x:c>
      <x:c r="E136" t="str">
        <x:v>2026-04</x:v>
      </x:c>
      <x:c r="F136" s="34" t="n">
        <x:v>4</x:v>
      </x:c>
      <x:c r="G136" t="str">
        <x:v>ENTREGUE</x:v>
      </x:c>
      <x:c r="H136" t="str">
        <x:v>WhatsApp</x:v>
      </x:c>
      <x:c r="I136" t="str">
        <x:v>Pix</x:v>
      </x:c>
      <x:c r="J136" s="36" t="n">
        <x:v>64.74</x:v>
      </x:c>
      <x:c r="K136" s="34" t="n">
        <x:v>5</x:v>
      </x:c>
      <x:c r="L136" t="str"/>
      <x:c r="M136" s="34" t="n">
        <x:v>1</x:v>
      </x:c>
      <x:c r="N136" s="34" t="n">
        <x:v>1</x:v>
      </x:c>
      <x:c r="O136" s="36" t="n">
        <x:v>89.9</x:v>
      </x:c>
      <x:c r="P136" s="36" t="n">
        <x:v>0</x:v>
      </x:c>
      <x:c r="Q136" s="36" t="n">
        <x:v>89.9</x:v>
      </x:c>
      <x:c r="R136" s="36" t="n">
        <x:v>48</x:v>
      </x:c>
      <x:c r="S136" s="36" t="n">
        <x:v>41.9</x:v>
      </x:c>
      <x:c r="T136" s="36" t="n">
        <x:v>89.9</x:v>
      </x:c>
      <x:c r="U136" s="38" t="n">
        <x:v>0.4661</x:v>
      </x:c>
    </x:row>
    <x:row r="137">
      <x:c r="A137" s="34" t="n">
        <x:v>136</x:v>
      </x:c>
      <x:c r="B137" s="34" t="n">
        <x:v>11</x:v>
      </x:c>
      <x:c r="C137" t="str">
        <x:v>Felipe Martins</x:v>
      </x:c>
      <x:c r="D137" s="32" t="n">
        <x:v>46134</x:v>
      </x:c>
      <x:c r="E137" t="str">
        <x:v>2026-04</x:v>
      </x:c>
      <x:c r="F137" s="34" t="n">
        <x:v>4</x:v>
      </x:c>
      <x:c r="G137" t="str">
        <x:v>ENTREGUE</x:v>
      </x:c>
      <x:c r="H137" t="str">
        <x:v>Site</x:v>
      </x:c>
      <x:c r="I137" t="str">
        <x:v>Cartão crédito</x:v>
      </x:c>
      <x:c r="J137" s="36" t="n">
        <x:v>17.26</x:v>
      </x:c>
      <x:c r="K137" s="34" t="n">
        <x:v>2</x:v>
      </x:c>
      <x:c r="L137" t="str"/>
      <x:c r="M137" s="34" t="n">
        <x:v>3</x:v>
      </x:c>
      <x:c r="N137" s="34" t="n">
        <x:v>3</x:v>
      </x:c>
      <x:c r="O137" s="36" t="n">
        <x:v>199.7</x:v>
      </x:c>
      <x:c r="P137" s="36" t="n">
        <x:v>0.9</x:v>
      </x:c>
      <x:c r="Q137" s="36" t="n">
        <x:v>198.8</x:v>
      </x:c>
      <x:c r="R137" s="36" t="n">
        <x:v>95</x:v>
      </x:c>
      <x:c r="S137" s="36" t="n">
        <x:v>103.8</x:v>
      </x:c>
      <x:c r="T137" s="36" t="n">
        <x:v>198.8</x:v>
      </x:c>
      <x:c r="U137" s="38" t="n">
        <x:v>0.5221</x:v>
      </x:c>
    </x:row>
    <x:row r="138">
      <x:c r="A138" s="34" t="n">
        <x:v>137</x:v>
      </x:c>
      <x:c r="B138" s="34" t="n">
        <x:v>29</x:v>
      </x:c>
      <x:c r="C138" t="str">
        <x:v>Thiago Carvalho</x:v>
      </x:c>
      <x:c r="D138" s="32" t="n">
        <x:v>46137</x:v>
      </x:c>
      <x:c r="E138" t="str">
        <x:v>2026-04</x:v>
      </x:c>
      <x:c r="F138" s="34" t="n">
        <x:v>4</x:v>
      </x:c>
      <x:c r="G138" t="str">
        <x:v>ENTREGUE</x:v>
      </x:c>
      <x:c r="H138" t="str">
        <x:v>Marketplace</x:v>
      </x:c>
      <x:c r="I138" t="str">
        <x:v>Pix</x:v>
      </x:c>
      <x:c r="J138" s="36" t="n">
        <x:v>25.89</x:v>
      </x:c>
      <x:c r="K138" s="34" t="n">
        <x:v>5</x:v>
      </x:c>
      <x:c r="L138" t="str"/>
      <x:c r="M138" s="34" t="n">
        <x:v>1</x:v>
      </x:c>
      <x:c r="N138" s="34" t="n">
        <x:v>1</x:v>
      </x:c>
      <x:c r="O138" s="36" t="n">
        <x:v>949.9</x:v>
      </x:c>
      <x:c r="P138" s="36" t="n">
        <x:v>47.5</x:v>
      </x:c>
      <x:c r="Q138" s="36" t="n">
        <x:v>902.4</x:v>
      </x:c>
      <x:c r="R138" s="36" t="n">
        <x:v>735</x:v>
      </x:c>
      <x:c r="S138" s="36" t="n">
        <x:v>167.4</x:v>
      </x:c>
      <x:c r="T138" s="36" t="n">
        <x:v>902.4</x:v>
      </x:c>
      <x:c r="U138" s="38" t="n">
        <x:v>0.1855</x:v>
      </x:c>
    </x:row>
    <x:row r="139">
      <x:c r="A139" s="34" t="n">
        <x:v>138</x:v>
      </x:c>
      <x:c r="B139" s="34" t="n">
        <x:v>21</x:v>
      </x:c>
      <x:c r="C139" t="str">
        <x:v>Henrique Pereira</x:v>
      </x:c>
      <x:c r="D139" s="32" t="n">
        <x:v>46162</x:v>
      </x:c>
      <x:c r="E139" t="str">
        <x:v>2026-05</x:v>
      </x:c>
      <x:c r="F139" s="34" t="n">
        <x:v>2</x:v>
      </x:c>
      <x:c r="G139" t="str">
        <x:v>EM PROCESSAMENTO</x:v>
      </x:c>
      <x:c r="H139" t="str">
        <x:v>Indicação</x:v>
      </x:c>
      <x:c r="I139" t="str">
        <x:v>Cartão crédito</x:v>
      </x:c>
      <x:c r="J139" s="36" t="n">
        <x:v>45.13</x:v>
      </x:c>
      <x:c r="K139" s="34"/>
      <x:c r="L139" t="str"/>
      <x:c r="M139" s="34" t="n">
        <x:v>1</x:v>
      </x:c>
      <x:c r="N139" s="34" t="n">
        <x:v>1</x:v>
      </x:c>
      <x:c r="O139" s="36" t="n">
        <x:v>39.9</x:v>
      </x:c>
      <x:c r="P139" s="36" t="n">
        <x:v>1.2</x:v>
      </x:c>
      <x:c r="Q139" s="36" t="n">
        <x:v>38.7</x:v>
      </x:c>
      <x:c r="R139" s="36" t="n">
        <x:v>17</x:v>
      </x:c>
      <x:c r="S139" s="36" t="n">
        <x:v>21.7</x:v>
      </x:c>
      <x:c r="T139" s="36" t="n">
        <x:v>38.7</x:v>
      </x:c>
      <x:c r="U139" s="38" t="n">
        <x:v>0.5607</x:v>
      </x:c>
    </x:row>
    <x:row r="140">
      <x:c r="A140" s="34" t="n">
        <x:v>139</x:v>
      </x:c>
      <x:c r="B140" s="34" t="n">
        <x:v>11</x:v>
      </x:c>
      <x:c r="C140" t="str">
        <x:v>Felipe Martins</x:v>
      </x:c>
      <x:c r="D140" s="32" t="n">
        <x:v>46106</x:v>
      </x:c>
      <x:c r="E140" t="str">
        <x:v>2026-03</x:v>
      </x:c>
      <x:c r="F140" s="34" t="n">
        <x:v>4</x:v>
      </x:c>
      <x:c r="G140" t="str">
        <x:v>ENTREGUE</x:v>
      </x:c>
      <x:c r="H140" t="str">
        <x:v>Site</x:v>
      </x:c>
      <x:c r="I140" t="str">
        <x:v>Cartão débito</x:v>
      </x:c>
      <x:c r="J140" s="36" t="n">
        <x:v>18.79</x:v>
      </x:c>
      <x:c r="K140" s="34" t="n">
        <x:v>2</x:v>
      </x:c>
      <x:c r="L140" t="str"/>
      <x:c r="M140" s="34" t="n">
        <x:v>1</x:v>
      </x:c>
      <x:c r="N140" s="34" t="n">
        <x:v>1</x:v>
      </x:c>
      <x:c r="O140" s="36" t="n">
        <x:v>99.9</x:v>
      </x:c>
      <x:c r="P140" s="36" t="n">
        <x:v>0</x:v>
      </x:c>
      <x:c r="Q140" s="36" t="n">
        <x:v>99.9</x:v>
      </x:c>
      <x:c r="R140" s="36" t="n">
        <x:v>46</x:v>
      </x:c>
      <x:c r="S140" s="36" t="n">
        <x:v>53.9</x:v>
      </x:c>
      <x:c r="T140" s="36" t="n">
        <x:v>99.9</x:v>
      </x:c>
      <x:c r="U140" s="38" t="n">
        <x:v>0.5395</x:v>
      </x:c>
    </x:row>
    <x:row r="141">
      <x:c r="A141" s="34" t="n">
        <x:v>140</x:v>
      </x:c>
      <x:c r="B141" s="34" t="n">
        <x:v>38</x:v>
      </x:c>
      <x:c r="C141" t="str">
        <x:v>Diego Santos</x:v>
      </x:c>
      <x:c r="D141" s="32" t="n">
        <x:v>46139</x:v>
      </x:c>
      <x:c r="E141" t="str">
        <x:v>2026-04</x:v>
      </x:c>
      <x:c r="F141" s="34" t="n">
        <x:v>4</x:v>
      </x:c>
      <x:c r="G141" t="str">
        <x:v>ENTREGUE</x:v>
      </x:c>
      <x:c r="H141" t="str">
        <x:v>WhatsApp</x:v>
      </x:c>
      <x:c r="I141" t="str">
        <x:v>Cartão crédito</x:v>
      </x:c>
      <x:c r="J141" s="36" t="n">
        <x:v>42.43</x:v>
      </x:c>
      <x:c r="K141" s="34" t="n">
        <x:v>5</x:v>
      </x:c>
      <x:c r="L141" t="str"/>
      <x:c r="M141" s="34" t="n">
        <x:v>2</x:v>
      </x:c>
      <x:c r="N141" s="34" t="n">
        <x:v>2</x:v>
      </x:c>
      <x:c r="O141" s="36" t="n">
        <x:v>149.8</x:v>
      </x:c>
      <x:c r="P141" s="36" t="n">
        <x:v>12.58</x:v>
      </x:c>
      <x:c r="Q141" s="36" t="n">
        <x:v>137.22</x:v>
      </x:c>
      <x:c r="R141" s="36" t="n">
        <x:v>68</x:v>
      </x:c>
      <x:c r="S141" s="36" t="n">
        <x:v>69.22</x:v>
      </x:c>
      <x:c r="T141" s="36" t="n">
        <x:v>137.22</x:v>
      </x:c>
      <x:c r="U141" s="38" t="n">
        <x:v>0.5044</x:v>
      </x:c>
    </x:row>
    <x:row r="142">
      <x:c r="A142" s="34" t="n">
        <x:v>141</x:v>
      </x:c>
      <x:c r="B142" s="34" t="n">
        <x:v>14</x:v>
      </x:c>
      <x:c r="C142" t="str">
        <x:v>Diego Carvalho</x:v>
      </x:c>
      <x:c r="D142" s="32" t="n">
        <x:v>46176</x:v>
      </x:c>
      <x:c r="E142" t="str">
        <x:v>2026-06</x:v>
      </x:c>
      <x:c r="F142" s="34" t="n">
        <x:v>4</x:v>
      </x:c>
      <x:c r="G142" t="str">
        <x:v>ENTREGUE</x:v>
      </x:c>
      <x:c r="H142" t="str">
        <x:v>Marketplace</x:v>
      </x:c>
      <x:c r="I142" t="str">
        <x:v>Pix</x:v>
      </x:c>
      <x:c r="J142" s="36" t="n">
        <x:v>49.62</x:v>
      </x:c>
      <x:c r="K142" s="34" t="n">
        <x:v>7</x:v>
      </x:c>
      <x:c r="L142" t="str"/>
      <x:c r="M142" s="34" t="n">
        <x:v>2</x:v>
      </x:c>
      <x:c r="N142" s="34" t="n">
        <x:v>2</x:v>
      </x:c>
      <x:c r="O142" s="36" t="n">
        <x:v>269.8</x:v>
      </x:c>
      <x:c r="P142" s="36" t="n">
        <x:v>17.09</x:v>
      </x:c>
      <x:c r="Q142" s="36" t="n">
        <x:v>252.71</x:v>
      </x:c>
      <x:c r="R142" s="36" t="n">
        <x:v>144</x:v>
      </x:c>
      <x:c r="S142" s="36" t="n">
        <x:v>108.71</x:v>
      </x:c>
      <x:c r="T142" s="36" t="n">
        <x:v>252.71</x:v>
      </x:c>
      <x:c r="U142" s="38" t="n">
        <x:v>0.4302</x:v>
      </x:c>
    </x:row>
    <x:row r="143">
      <x:c r="A143" s="34" t="n">
        <x:v>142</x:v>
      </x:c>
      <x:c r="B143" s="34" t="n">
        <x:v>60</x:v>
      </x:c>
      <x:c r="C143" t="str">
        <x:v>Mariana Araujo</x:v>
      </x:c>
      <x:c r="D143" s="32" t="n">
        <x:v>46084</x:v>
      </x:c>
      <x:c r="E143" t="str">
        <x:v>2026-03</x:v>
      </x:c>
      <x:c r="F143" s="34" t="n">
        <x:v>5</x:v>
      </x:c>
      <x:c r="G143" t="str">
        <x:v>CANCELADO</x:v>
      </x:c>
      <x:c r="H143" t="str">
        <x:v>WhatsApp</x:v>
      </x:c>
      <x:c r="I143" t="str">
        <x:v>Cartão crédito</x:v>
      </x:c>
      <x:c r="J143" s="36" t="n">
        <x:v>27.73</x:v>
      </x:c>
      <x:c r="K143" s="34"/>
      <x:c r="L143" t="str">
        <x:v>Produto indisponível</x:v>
      </x:c>
      <x:c r="M143" s="34" t="n">
        <x:v>3</x:v>
      </x:c>
      <x:c r="N143" s="34" t="n">
        <x:v>1</x:v>
      </x:c>
      <x:c r="O143" s="36" t="n">
        <x:v>359.7</x:v>
      </x:c>
      <x:c r="P143" s="36" t="n">
        <x:v>35.97</x:v>
      </x:c>
      <x:c r="Q143" s="36" t="n">
        <x:v>0</x:v>
      </x:c>
      <x:c r="R143" s="36" t="n">
        <x:v>0</x:v>
      </x:c>
      <x:c r="S143" s="36" t="n">
        <x:v>0</x:v>
      </x:c>
      <x:c r="T143" s="36" t="n">
        <x:v>0</x:v>
      </x:c>
      <x:c r="U143" s="38" t="n">
        <x:v>0</x:v>
      </x:c>
    </x:row>
    <x:row r="144">
      <x:c r="A144" s="34" t="n">
        <x:v>143</x:v>
      </x:c>
      <x:c r="B144" s="34" t="n">
        <x:v>2</x:v>
      </x:c>
      <x:c r="C144" t="str">
        <x:v>Beatriz Costa</x:v>
      </x:c>
      <x:c r="D144" s="32" t="n">
        <x:v>46045</x:v>
      </x:c>
      <x:c r="E144" t="str">
        <x:v>2026-01</x:v>
      </x:c>
      <x:c r="F144" s="34" t="n">
        <x:v>4</x:v>
      </x:c>
      <x:c r="G144" t="str">
        <x:v>ENTREGUE</x:v>
      </x:c>
      <x:c r="H144" t="str">
        <x:v>Site</x:v>
      </x:c>
      <x:c r="I144" t="str">
        <x:v>Cartão crédito</x:v>
      </x:c>
      <x:c r="J144" s="36" t="n">
        <x:v>27.33</x:v>
      </x:c>
      <x:c r="K144" s="34" t="n">
        <x:v>8</x:v>
      </x:c>
      <x:c r="L144" t="str"/>
      <x:c r="M144" s="34" t="n">
        <x:v>2</x:v>
      </x:c>
      <x:c r="N144" s="34" t="n">
        <x:v>2</x:v>
      </x:c>
      <x:c r="O144" s="36" t="n">
        <x:v>249.8</x:v>
      </x:c>
      <x:c r="P144" s="36" t="n">
        <x:v>6</x:v>
      </x:c>
      <x:c r="Q144" s="36" t="n">
        <x:v>243.8</x:v>
      </x:c>
      <x:c r="R144" s="36" t="n">
        <x:v>137</x:v>
      </x:c>
      <x:c r="S144" s="36" t="n">
        <x:v>106.8</x:v>
      </x:c>
      <x:c r="T144" s="36" t="n">
        <x:v>243.8</x:v>
      </x:c>
      <x:c r="U144" s="38" t="n">
        <x:v>0.4381</x:v>
      </x:c>
    </x:row>
    <x:row r="145">
      <x:c r="A145" s="34" t="n">
        <x:v>144</x:v>
      </x:c>
      <x:c r="B145" s="34" t="n">
        <x:v>6</x:v>
      </x:c>
      <x:c r="C145" t="str">
        <x:v>Yasmin Santos</x:v>
      </x:c>
      <x:c r="D145" s="32" t="n">
        <x:v>46177</x:v>
      </x:c>
      <x:c r="E145" t="str">
        <x:v>2026-06</x:v>
      </x:c>
      <x:c r="F145" s="34" t="n">
        <x:v>2</x:v>
      </x:c>
      <x:c r="G145" t="str">
        <x:v>EM PROCESSAMENTO</x:v>
      </x:c>
      <x:c r="H145" t="str">
        <x:v>Indicação</x:v>
      </x:c>
      <x:c r="I145" t="str">
        <x:v>Cartão crédito</x:v>
      </x:c>
      <x:c r="J145" s="36" t="n">
        <x:v>19.4</x:v>
      </x:c>
      <x:c r="K145" s="34"/>
      <x:c r="L145" t="str"/>
      <x:c r="M145" s="34" t="n">
        <x:v>2</x:v>
      </x:c>
      <x:c r="N145" s="34" t="n">
        <x:v>1</x:v>
      </x:c>
      <x:c r="O145" s="36" t="n">
        <x:v>339.8</x:v>
      </x:c>
      <x:c r="P145" s="36" t="n">
        <x:v>16.98</x:v>
      </x:c>
      <x:c r="Q145" s="36" t="n">
        <x:v>322.82</x:v>
      </x:c>
      <x:c r="R145" s="36" t="n">
        <x:v>196</x:v>
      </x:c>
      <x:c r="S145" s="36" t="n">
        <x:v>126.82</x:v>
      </x:c>
      <x:c r="T145" s="36" t="n">
        <x:v>322.82</x:v>
      </x:c>
      <x:c r="U145" s="38" t="n">
        <x:v>0.3929</x:v>
      </x:c>
    </x:row>
    <x:row r="146">
      <x:c r="A146" s="34" t="n">
        <x:v>145</x:v>
      </x:c>
      <x:c r="B146" s="34" t="n">
        <x:v>45</x:v>
      </x:c>
      <x:c r="C146" t="str">
        <x:v>Nicolas Costa</x:v>
      </x:c>
      <x:c r="D146" s="32" t="n">
        <x:v>46145</x:v>
      </x:c>
      <x:c r="E146" t="str">
        <x:v>2026-05</x:v>
      </x:c>
      <x:c r="F146" s="34" t="n">
        <x:v>2</x:v>
      </x:c>
      <x:c r="G146" t="str">
        <x:v>EM PROCESSAMENTO</x:v>
      </x:c>
      <x:c r="H146" t="str">
        <x:v>Site</x:v>
      </x:c>
      <x:c r="I146" t="str">
        <x:v>Boleto</x:v>
      </x:c>
      <x:c r="J146" s="36" t="n">
        <x:v>29.07</x:v>
      </x:c>
      <x:c r="K146" s="34"/>
      <x:c r="L146" t="str"/>
      <x:c r="M146" s="34" t="n">
        <x:v>1</x:v>
      </x:c>
      <x:c r="N146" s="34" t="n">
        <x:v>1</x:v>
      </x:c>
      <x:c r="O146" s="36" t="n">
        <x:v>139.9</x:v>
      </x:c>
      <x:c r="P146" s="36" t="n">
        <x:v>4.2</x:v>
      </x:c>
      <x:c r="Q146" s="36" t="n">
        <x:v>135.7</x:v>
      </x:c>
      <x:c r="R146" s="36" t="n">
        <x:v>69</x:v>
      </x:c>
      <x:c r="S146" s="36" t="n">
        <x:v>66.7</x:v>
      </x:c>
      <x:c r="T146" s="36" t="n">
        <x:v>135.7</x:v>
      </x:c>
      <x:c r="U146" s="38" t="n">
        <x:v>0.4915</x:v>
      </x:c>
    </x:row>
    <x:row r="147">
      <x:c r="A147" s="34" t="n">
        <x:v>146</x:v>
      </x:c>
      <x:c r="B147" s="34" t="n">
        <x:v>43</x:v>
      </x:c>
      <x:c r="C147" t="str">
        <x:v>Caio Souza</x:v>
      </x:c>
      <x:c r="D147" s="32" t="n">
        <x:v>46056</x:v>
      </x:c>
      <x:c r="E147" t="str">
        <x:v>2026-02</x:v>
      </x:c>
      <x:c r="F147" s="34" t="n">
        <x:v>2</x:v>
      </x:c>
      <x:c r="G147" t="str">
        <x:v>EM PROCESSAMENTO</x:v>
      </x:c>
      <x:c r="H147" t="str">
        <x:v>Site</x:v>
      </x:c>
      <x:c r="I147" t="str">
        <x:v>Cartão crédito</x:v>
      </x:c>
      <x:c r="J147" s="36" t="n">
        <x:v>47.13</x:v>
      </x:c>
      <x:c r="K147" s="34"/>
      <x:c r="L147" t="str"/>
      <x:c r="M147" s="34" t="n">
        <x:v>3</x:v>
      </x:c>
      <x:c r="N147" s="34" t="n">
        <x:v>2</x:v>
      </x:c>
      <x:c r="O147" s="36" t="n">
        <x:v>289.7</x:v>
      </x:c>
      <x:c r="P147" s="36" t="n">
        <x:v>4.49</x:v>
      </x:c>
      <x:c r="Q147" s="36" t="n">
        <x:v>285.21</x:v>
      </x:c>
      <x:c r="R147" s="36" t="n">
        <x:v>140</x:v>
      </x:c>
      <x:c r="S147" s="36" t="n">
        <x:v>145.21</x:v>
      </x:c>
      <x:c r="T147" s="36" t="n">
        <x:v>285.21</x:v>
      </x:c>
      <x:c r="U147" s="38" t="n">
        <x:v>0.5091</x:v>
      </x:c>
    </x:row>
    <x:row r="148">
      <x:c r="A148" s="34" t="n">
        <x:v>147</x:v>
      </x:c>
      <x:c r="B148" s="34" t="n">
        <x:v>57</x:v>
      </x:c>
      <x:c r="C148" t="str">
        <x:v>Beatriz Souza</x:v>
      </x:c>
      <x:c r="D148" s="32" t="n">
        <x:v>46146</x:v>
      </x:c>
      <x:c r="E148" t="str">
        <x:v>2026-05</x:v>
      </x:c>
      <x:c r="F148" s="34" t="n">
        <x:v>4</x:v>
      </x:c>
      <x:c r="G148" t="str">
        <x:v>ENTREGUE</x:v>
      </x:c>
      <x:c r="H148" t="str">
        <x:v>WhatsApp</x:v>
      </x:c>
      <x:c r="I148" t="str">
        <x:v>Boleto</x:v>
      </x:c>
      <x:c r="J148" s="36" t="n">
        <x:v>27.4</x:v>
      </x:c>
      <x:c r="K148" s="34" t="n">
        <x:v>3</x:v>
      </x:c>
      <x:c r="L148" t="str"/>
      <x:c r="M148" s="34" t="n">
        <x:v>1</x:v>
      </x:c>
      <x:c r="N148" s="34" t="n">
        <x:v>1</x:v>
      </x:c>
      <x:c r="O148" s="36" t="n">
        <x:v>79.9</x:v>
      </x:c>
      <x:c r="P148" s="36" t="n">
        <x:v>0</x:v>
      </x:c>
      <x:c r="Q148" s="36" t="n">
        <x:v>79.9</x:v>
      </x:c>
      <x:c r="R148" s="36" t="n">
        <x:v>37</x:v>
      </x:c>
      <x:c r="S148" s="36" t="n">
        <x:v>42.9</x:v>
      </x:c>
      <x:c r="T148" s="36" t="n">
        <x:v>79.9</x:v>
      </x:c>
      <x:c r="U148" s="38" t="n">
        <x:v>0.5369</x:v>
      </x:c>
    </x:row>
    <x:row r="149">
      <x:c r="A149" s="34" t="n">
        <x:v>148</x:v>
      </x:c>
      <x:c r="B149" s="34" t="n">
        <x:v>4</x:v>
      </x:c>
      <x:c r="C149" t="str">
        <x:v>Letícia Santos</x:v>
      </x:c>
      <x:c r="D149" s="32" t="n">
        <x:v>46024</x:v>
      </x:c>
      <x:c r="E149" t="str">
        <x:v>2026-01</x:v>
      </x:c>
      <x:c r="F149" s="34" t="n">
        <x:v>4</x:v>
      </x:c>
      <x:c r="G149" t="str">
        <x:v>ENTREGUE</x:v>
      </x:c>
      <x:c r="H149" t="str">
        <x:v>WhatsApp</x:v>
      </x:c>
      <x:c r="I149" t="str">
        <x:v>Cartão crédito</x:v>
      </x:c>
      <x:c r="J149" s="36" t="n">
        <x:v>30.48</x:v>
      </x:c>
      <x:c r="K149" s="34" t="n">
        <x:v>4</x:v>
      </x:c>
      <x:c r="L149" t="str"/>
      <x:c r="M149" s="34" t="n">
        <x:v>2</x:v>
      </x:c>
      <x:c r="N149" s="34" t="n">
        <x:v>2</x:v>
      </x:c>
      <x:c r="O149" s="36" t="n">
        <x:v>359.8</x:v>
      </x:c>
      <x:c r="P149" s="36" t="n">
        <x:v>26.39</x:v>
      </x:c>
      <x:c r="Q149" s="36" t="n">
        <x:v>333.41</x:v>
      </x:c>
      <x:c r="R149" s="36" t="n">
        <x:v>215</x:v>
      </x:c>
      <x:c r="S149" s="36" t="n">
        <x:v>118.41</x:v>
      </x:c>
      <x:c r="T149" s="36" t="n">
        <x:v>333.41</x:v>
      </x:c>
      <x:c r="U149" s="38" t="n">
        <x:v>0.3551</x:v>
      </x:c>
    </x:row>
    <x:row r="150">
      <x:c r="A150" s="34" t="n">
        <x:v>149</x:v>
      </x:c>
      <x:c r="B150" s="34" t="n">
        <x:v>10</x:v>
      </x:c>
      <x:c r="C150" t="str">
        <x:v>Tatiane Rodrigues</x:v>
      </x:c>
      <x:c r="D150" s="32" t="n">
        <x:v>46156</x:v>
      </x:c>
      <x:c r="E150" t="str">
        <x:v>2026-05</x:v>
      </x:c>
      <x:c r="F150" s="34" t="n">
        <x:v>4</x:v>
      </x:c>
      <x:c r="G150" t="str">
        <x:v>ENTREGUE</x:v>
      </x:c>
      <x:c r="H150" t="str">
        <x:v>Indicação</x:v>
      </x:c>
      <x:c r="I150" t="str">
        <x:v>Pix</x:v>
      </x:c>
      <x:c r="J150" s="36" t="n">
        <x:v>22.77</x:v>
      </x:c>
      <x:c r="K150" s="34" t="n">
        <x:v>4</x:v>
      </x:c>
      <x:c r="L150" t="str"/>
      <x:c r="M150" s="34" t="n">
        <x:v>1</x:v>
      </x:c>
      <x:c r="N150" s="34" t="n">
        <x:v>1</x:v>
      </x:c>
      <x:c r="O150" s="36" t="n">
        <x:v>139.9</x:v>
      </x:c>
      <x:c r="P150" s="36" t="n">
        <x:v>13.99</x:v>
      </x:c>
      <x:c r="Q150" s="36" t="n">
        <x:v>125.91</x:v>
      </x:c>
      <x:c r="R150" s="36" t="n">
        <x:v>69</x:v>
      </x:c>
      <x:c r="S150" s="36" t="n">
        <x:v>56.91</x:v>
      </x:c>
      <x:c r="T150" s="36" t="n">
        <x:v>125.91</x:v>
      </x:c>
      <x:c r="U150" s="38" t="n">
        <x:v>0.452</x:v>
      </x:c>
    </x:row>
    <x:row r="151">
      <x:c r="A151" s="34" t="n">
        <x:v>150</x:v>
      </x:c>
      <x:c r="B151" s="34" t="n">
        <x:v>53</x:v>
      </x:c>
      <x:c r="C151" t="str">
        <x:v>Carla Almeida</x:v>
      </x:c>
      <x:c r="D151" s="32" t="n">
        <x:v>46136</x:v>
      </x:c>
      <x:c r="E151" t="str">
        <x:v>2026-04</x:v>
      </x:c>
      <x:c r="F151" s="34" t="n">
        <x:v>4</x:v>
      </x:c>
      <x:c r="G151" t="str">
        <x:v>ENTREGUE</x:v>
      </x:c>
      <x:c r="H151" t="str">
        <x:v>Marketplace</x:v>
      </x:c>
      <x:c r="I151" t="str">
        <x:v>Boleto</x:v>
      </x:c>
      <x:c r="J151" s="36" t="n">
        <x:v>13.5</x:v>
      </x:c>
      <x:c r="K151" s="34" t="n">
        <x:v>6</x:v>
      </x:c>
      <x:c r="L151" t="str"/>
      <x:c r="M151" s="34" t="n">
        <x:v>5</x:v>
      </x:c>
      <x:c r="N151" s="34" t="n">
        <x:v>1</x:v>
      </x:c>
      <x:c r="O151" s="36" t="n">
        <x:v>149.5</x:v>
      </x:c>
      <x:c r="P151" s="36" t="n">
        <x:v>0</x:v>
      </x:c>
      <x:c r="Q151" s="36" t="n">
        <x:v>149.5</x:v>
      </x:c>
      <x:c r="R151" s="36" t="n">
        <x:v>50</x:v>
      </x:c>
      <x:c r="S151" s="36" t="n">
        <x:v>99.5</x:v>
      </x:c>
      <x:c r="T151" s="36" t="n">
        <x:v>149.5</x:v>
      </x:c>
      <x:c r="U151" s="38" t="n">
        <x:v>0.6656</x:v>
      </x:c>
    </x:row>
    <x:row r="152">
      <x:c r="A152" s="34" t="n">
        <x:v>151</x:v>
      </x:c>
      <x:c r="B152" s="34" t="n">
        <x:v>19</x:v>
      </x:c>
      <x:c r="C152" t="str">
        <x:v>Sofia Nascimento</x:v>
      </x:c>
      <x:c r="D152" s="32" t="n">
        <x:v>46037</x:v>
      </x:c>
      <x:c r="E152" t="str">
        <x:v>2026-01</x:v>
      </x:c>
      <x:c r="F152" s="34" t="n">
        <x:v>4</x:v>
      </x:c>
      <x:c r="G152" t="str">
        <x:v>ENTREGUE</x:v>
      </x:c>
      <x:c r="H152" t="str">
        <x:v>Site</x:v>
      </x:c>
      <x:c r="I152" t="str">
        <x:v>Pix</x:v>
      </x:c>
      <x:c r="J152" s="36" t="n">
        <x:v>53.21</x:v>
      </x:c>
      <x:c r="K152" s="34" t="n">
        <x:v>5</x:v>
      </x:c>
      <x:c r="L152" t="str"/>
      <x:c r="M152" s="34" t="n">
        <x:v>4</x:v>
      </x:c>
      <x:c r="N152" s="34" t="n">
        <x:v>2</x:v>
      </x:c>
      <x:c r="O152" s="36" t="n">
        <x:v>299.6</x:v>
      </x:c>
      <x:c r="P152" s="36" t="n">
        <x:v>17.06</x:v>
      </x:c>
      <x:c r="Q152" s="36" t="n">
        <x:v>282.54</x:v>
      </x:c>
      <x:c r="R152" s="36" t="n">
        <x:v>154</x:v>
      </x:c>
      <x:c r="S152" s="36" t="n">
        <x:v>128.54</x:v>
      </x:c>
      <x:c r="T152" s="36" t="n">
        <x:v>282.54</x:v>
      </x:c>
      <x:c r="U152" s="38" t="n">
        <x:v>0.4549</x:v>
      </x:c>
    </x:row>
    <x:row r="153">
      <x:c r="A153" s="34" t="n">
        <x:v>152</x:v>
      </x:c>
      <x:c r="B153" s="34" t="n">
        <x:v>35</x:v>
      </x:c>
      <x:c r="C153" t="str">
        <x:v>Sofia Santos</x:v>
      </x:c>
      <x:c r="D153" s="32" t="n">
        <x:v>46058</x:v>
      </x:c>
      <x:c r="E153" t="str">
        <x:v>2026-02</x:v>
      </x:c>
      <x:c r="F153" s="34" t="n">
        <x:v>4</x:v>
      </x:c>
      <x:c r="G153" t="str">
        <x:v>ENTREGUE</x:v>
      </x:c>
      <x:c r="H153" t="str">
        <x:v>Site</x:v>
      </x:c>
      <x:c r="I153" t="str">
        <x:v>Boleto</x:v>
      </x:c>
      <x:c r="J153" s="36" t="n">
        <x:v>12</x:v>
      </x:c>
      <x:c r="K153" s="34" t="n">
        <x:v>7</x:v>
      </x:c>
      <x:c r="L153" t="str"/>
      <x:c r="M153" s="34" t="n">
        <x:v>3</x:v>
      </x:c>
      <x:c r="N153" s="34" t="n">
        <x:v>2</x:v>
      </x:c>
      <x:c r="O153" s="36" t="n">
        <x:v>139.7</x:v>
      </x:c>
      <x:c r="P153" s="36" t="n">
        <x:v>7</x:v>
      </x:c>
      <x:c r="Q153" s="36" t="n">
        <x:v>132.7</x:v>
      </x:c>
      <x:c r="R153" s="36" t="n">
        <x:v>67</x:v>
      </x:c>
      <x:c r="S153" s="36" t="n">
        <x:v>65.7</x:v>
      </x:c>
      <x:c r="T153" s="36" t="n">
        <x:v>132.7</x:v>
      </x:c>
      <x:c r="U153" s="38" t="n">
        <x:v>0.4951</x:v>
      </x:c>
    </x:row>
    <x:row r="154">
      <x:c r="A154" s="34" t="n">
        <x:v>153</x:v>
      </x:c>
      <x:c r="B154" s="34" t="n">
        <x:v>34</x:v>
      </x:c>
      <x:c r="C154" t="str">
        <x:v>Vitor Martins</x:v>
      </x:c>
      <x:c r="D154" s="32" t="n">
        <x:v>46163</x:v>
      </x:c>
      <x:c r="E154" t="str">
        <x:v>2026-05</x:v>
      </x:c>
      <x:c r="F154" s="34" t="n">
        <x:v>2</x:v>
      </x:c>
      <x:c r="G154" t="str">
        <x:v>EM PROCESSAMENTO</x:v>
      </x:c>
      <x:c r="H154" t="str">
        <x:v>Site</x:v>
      </x:c>
      <x:c r="I154" t="str">
        <x:v>Cartão débito</x:v>
      </x:c>
      <x:c r="J154" s="36" t="n">
        <x:v>12</x:v>
      </x:c>
      <x:c r="K154" s="34"/>
      <x:c r="L154" t="str"/>
      <x:c r="M154" s="34" t="n">
        <x:v>6</x:v>
      </x:c>
      <x:c r="N154" s="34" t="n">
        <x:v>4</x:v>
      </x:c>
      <x:c r="O154" s="36" t="n">
        <x:v>619.4</x:v>
      </x:c>
      <x:c r="P154" s="36" t="n">
        <x:v>16.18</x:v>
      </x:c>
      <x:c r="Q154" s="36" t="n">
        <x:v>603.22</x:v>
      </x:c>
      <x:c r="R154" s="36" t="n">
        <x:v>303</x:v>
      </x:c>
      <x:c r="S154" s="36" t="n">
        <x:v>300.22</x:v>
      </x:c>
      <x:c r="T154" s="36" t="n">
        <x:v>603.22</x:v>
      </x:c>
      <x:c r="U154" s="38" t="n">
        <x:v>0.4977</x:v>
      </x:c>
    </x:row>
    <x:row r="155">
      <x:c r="A155" s="34" t="n">
        <x:v>154</x:v>
      </x:c>
      <x:c r="B155" s="34" t="n">
        <x:v>9</x:v>
      </x:c>
      <x:c r="C155" t="str">
        <x:v>Yasmin Almeida</x:v>
      </x:c>
      <x:c r="D155" s="32" t="n">
        <x:v>46174</x:v>
      </x:c>
      <x:c r="E155" t="str">
        <x:v>2026-06</x:v>
      </x:c>
      <x:c r="F155" s="34" t="n">
        <x:v>4</x:v>
      </x:c>
      <x:c r="G155" t="str">
        <x:v>ENTREGUE</x:v>
      </x:c>
      <x:c r="H155" t="str">
        <x:v>Indicação</x:v>
      </x:c>
      <x:c r="I155" t="str">
        <x:v>Pix</x:v>
      </x:c>
      <x:c r="J155" s="36" t="n">
        <x:v>25.54</x:v>
      </x:c>
      <x:c r="K155" s="34" t="n">
        <x:v>1</x:v>
      </x:c>
      <x:c r="L155" t="str"/>
      <x:c r="M155" s="34" t="n">
        <x:v>1</x:v>
      </x:c>
      <x:c r="N155" s="34" t="n">
        <x:v>1</x:v>
      </x:c>
      <x:c r="O155" s="36" t="n">
        <x:v>39.9</x:v>
      </x:c>
      <x:c r="P155" s="36" t="n">
        <x:v>0</x:v>
      </x:c>
      <x:c r="Q155" s="36" t="n">
        <x:v>39.9</x:v>
      </x:c>
      <x:c r="R155" s="36" t="n">
        <x:v>17</x:v>
      </x:c>
      <x:c r="S155" s="36" t="n">
        <x:v>22.9</x:v>
      </x:c>
      <x:c r="T155" s="36" t="n">
        <x:v>39.9</x:v>
      </x:c>
      <x:c r="U155" s="38" t="n">
        <x:v>0.5739</x:v>
      </x:c>
    </x:row>
    <x:row r="156">
      <x:c r="A156" s="34" t="n">
        <x:v>155</x:v>
      </x:c>
      <x:c r="B156" s="34" t="n">
        <x:v>50</x:v>
      </x:c>
      <x:c r="C156" t="str">
        <x:v>Rodrigo Lima</x:v>
      </x:c>
      <x:c r="D156" s="32" t="n">
        <x:v>46177</x:v>
      </x:c>
      <x:c r="E156" t="str">
        <x:v>2026-06</x:v>
      </x:c>
      <x:c r="F156" s="34" t="n">
        <x:v>2</x:v>
      </x:c>
      <x:c r="G156" t="str">
        <x:v>EM PROCESSAMENTO</x:v>
      </x:c>
      <x:c r="H156" t="str">
        <x:v>Site</x:v>
      </x:c>
      <x:c r="I156" t="str">
        <x:v>Cartão crédito</x:v>
      </x:c>
      <x:c r="J156" s="36" t="n">
        <x:v>17.97</x:v>
      </x:c>
      <x:c r="K156" s="34"/>
      <x:c r="L156" t="str"/>
      <x:c r="M156" s="34" t="n">
        <x:v>2</x:v>
      </x:c>
      <x:c r="N156" s="34" t="n">
        <x:v>2</x:v>
      </x:c>
      <x:c r="O156" s="36" t="n">
        <x:v>239.8</x:v>
      </x:c>
      <x:c r="P156" s="36" t="n">
        <x:v>19.18</x:v>
      </x:c>
      <x:c r="Q156" s="36" t="n">
        <x:v>220.62</x:v>
      </x:c>
      <x:c r="R156" s="36" t="n">
        <x:v>121</x:v>
      </x:c>
      <x:c r="S156" s="36" t="n">
        <x:v>99.62</x:v>
      </x:c>
      <x:c r="T156" s="36" t="n">
        <x:v>220.62</x:v>
      </x:c>
      <x:c r="U156" s="38" t="n">
        <x:v>0.4515</x:v>
      </x:c>
    </x:row>
    <x:row r="157">
      <x:c r="A157" s="34" t="n">
        <x:v>156</x:v>
      </x:c>
      <x:c r="B157" s="34" t="n">
        <x:v>46</x:v>
      </x:c>
      <x:c r="C157" t="str">
        <x:v>Bruno Ribeiro</x:v>
      </x:c>
      <x:c r="D157" s="32" t="n">
        <x:v>46175</x:v>
      </x:c>
      <x:c r="E157" t="str">
        <x:v>2026-06</x:v>
      </x:c>
      <x:c r="F157" s="34" t="n">
        <x:v>3</x:v>
      </x:c>
      <x:c r="G157" t="str">
        <x:v>ENVIADO</x:v>
      </x:c>
      <x:c r="H157" t="str">
        <x:v>Site</x:v>
      </x:c>
      <x:c r="I157" t="str">
        <x:v>Cartão crédito</x:v>
      </x:c>
      <x:c r="J157" s="36" t="n">
        <x:v>49.33</x:v>
      </x:c>
      <x:c r="K157" s="34" t="n">
        <x:v>1</x:v>
      </x:c>
      <x:c r="L157" t="str"/>
      <x:c r="M157" s="34" t="n">
        <x:v>2</x:v>
      </x:c>
      <x:c r="N157" s="34" t="n">
        <x:v>2</x:v>
      </x:c>
      <x:c r="O157" s="36" t="n">
        <x:v>239.8</x:v>
      </x:c>
      <x:c r="P157" s="36" t="n">
        <x:v>5.99</x:v>
      </x:c>
      <x:c r="Q157" s="36" t="n">
        <x:v>233.81</x:v>
      </x:c>
      <x:c r="R157" s="36" t="n">
        <x:v>128</x:v>
      </x:c>
      <x:c r="S157" s="36" t="n">
        <x:v>105.81</x:v>
      </x:c>
      <x:c r="T157" s="36" t="n">
        <x:v>233.81</x:v>
      </x:c>
      <x:c r="U157" s="38" t="n">
        <x:v>0.4525</x:v>
      </x:c>
    </x:row>
    <x:row r="158">
      <x:c r="A158" s="34" t="n">
        <x:v>157</x:v>
      </x:c>
      <x:c r="B158" s="34" t="n">
        <x:v>48</x:v>
      </x:c>
      <x:c r="C158" t="str">
        <x:v>Caio Rodrigues</x:v>
      </x:c>
      <x:c r="D158" s="32" t="n">
        <x:v>46120</x:v>
      </x:c>
      <x:c r="E158" t="str">
        <x:v>2026-04</x:v>
      </x:c>
      <x:c r="F158" s="34" t="n">
        <x:v>4</x:v>
      </x:c>
      <x:c r="G158" t="str">
        <x:v>ENTREGUE</x:v>
      </x:c>
      <x:c r="H158" t="str">
        <x:v>Site</x:v>
      </x:c>
      <x:c r="I158" t="str">
        <x:v>Pix</x:v>
      </x:c>
      <x:c r="J158" s="36" t="n">
        <x:v>44.29</x:v>
      </x:c>
      <x:c r="K158" s="34" t="n">
        <x:v>5</x:v>
      </x:c>
      <x:c r="L158" t="str"/>
      <x:c r="M158" s="34" t="n">
        <x:v>4</x:v>
      </x:c>
      <x:c r="N158" s="34" t="n">
        <x:v>2</x:v>
      </x:c>
      <x:c r="O158" s="36" t="n">
        <x:v>839.6</x:v>
      </x:c>
      <x:c r="P158" s="36" t="n">
        <x:v>4.49</x:v>
      </x:c>
      <x:c r="Q158" s="36" t="n">
        <x:v>835.11</x:v>
      </x:c>
      <x:c r="R158" s="36" t="n">
        <x:v>483</x:v>
      </x:c>
      <x:c r="S158" s="36" t="n">
        <x:v>352.11</x:v>
      </x:c>
      <x:c r="T158" s="36" t="n">
        <x:v>835.11</x:v>
      </x:c>
      <x:c r="U158" s="38" t="n">
        <x:v>0.4216</x:v>
      </x:c>
    </x:row>
    <x:row r="159">
      <x:c r="A159" s="34" t="n">
        <x:v>158</x:v>
      </x:c>
      <x:c r="B159" s="34" t="n">
        <x:v>59</x:v>
      </x:c>
      <x:c r="C159" t="str">
        <x:v>Letícia Souza</x:v>
      </x:c>
      <x:c r="D159" s="32" t="n">
        <x:v>46142</x:v>
      </x:c>
      <x:c r="E159" t="str">
        <x:v>2026-04</x:v>
      </x:c>
      <x:c r="F159" s="34" t="n">
        <x:v>4</x:v>
      </x:c>
      <x:c r="G159" t="str">
        <x:v>ENTREGUE</x:v>
      </x:c>
      <x:c r="H159" t="str">
        <x:v>Indicação</x:v>
      </x:c>
      <x:c r="I159" t="str">
        <x:v>Cartão crédito</x:v>
      </x:c>
      <x:c r="J159" s="36" t="n">
        <x:v>22.96</x:v>
      </x:c>
      <x:c r="K159" s="34" t="n">
        <x:v>4</x:v>
      </x:c>
      <x:c r="L159" t="str"/>
      <x:c r="M159" s="34" t="n">
        <x:v>4</x:v>
      </x:c>
      <x:c r="N159" s="34" t="n">
        <x:v>3</x:v>
      </x:c>
      <x:c r="O159" s="36" t="n">
        <x:v>359.6</x:v>
      </x:c>
      <x:c r="P159" s="36" t="n">
        <x:v>8.99</x:v>
      </x:c>
      <x:c r="Q159" s="36" t="n">
        <x:v>350.61</x:v>
      </x:c>
      <x:c r="R159" s="36" t="n">
        <x:v>172</x:v>
      </x:c>
      <x:c r="S159" s="36" t="n">
        <x:v>178.61</x:v>
      </x:c>
      <x:c r="T159" s="36" t="n">
        <x:v>350.61</x:v>
      </x:c>
      <x:c r="U159" s="38" t="n">
        <x:v>0.5094</x:v>
      </x:c>
    </x:row>
    <x:row r="160">
      <x:c r="A160" s="34" t="n">
        <x:v>159</x:v>
      </x:c>
      <x:c r="B160" s="34" t="n">
        <x:v>14</x:v>
      </x:c>
      <x:c r="C160" t="str">
        <x:v>Diego Carvalho</x:v>
      </x:c>
      <x:c r="D160" s="32" t="n">
        <x:v>46131</x:v>
      </x:c>
      <x:c r="E160" t="str">
        <x:v>2026-04</x:v>
      </x:c>
      <x:c r="F160" s="34" t="n">
        <x:v>3</x:v>
      </x:c>
      <x:c r="G160" t="str">
        <x:v>ENVIADO</x:v>
      </x:c>
      <x:c r="H160" t="str">
        <x:v>WhatsApp</x:v>
      </x:c>
      <x:c r="I160" t="str">
        <x:v>Pix</x:v>
      </x:c>
      <x:c r="J160" s="36" t="n">
        <x:v>35.35</x:v>
      </x:c>
      <x:c r="K160" s="34" t="n">
        <x:v>4</x:v>
      </x:c>
      <x:c r="L160" t="str"/>
      <x:c r="M160" s="34" t="n">
        <x:v>4</x:v>
      </x:c>
      <x:c r="N160" s="34" t="n">
        <x:v>3</x:v>
      </x:c>
      <x:c r="O160" s="36" t="n">
        <x:v>499.6</x:v>
      </x:c>
      <x:c r="P160" s="36" t="n">
        <x:v>34.17</x:v>
      </x:c>
      <x:c r="Q160" s="36" t="n">
        <x:v>465.43</x:v>
      </x:c>
      <x:c r="R160" s="36" t="n">
        <x:v>247</x:v>
      </x:c>
      <x:c r="S160" s="36" t="n">
        <x:v>218.43</x:v>
      </x:c>
      <x:c r="T160" s="36" t="n">
        <x:v>465.43</x:v>
      </x:c>
      <x:c r="U160" s="38" t="n">
        <x:v>0.4693</x:v>
      </x:c>
    </x:row>
    <x:row r="161">
      <x:c r="A161" s="34" t="n">
        <x:v>160</x:v>
      </x:c>
      <x:c r="B161" s="34" t="n">
        <x:v>2</x:v>
      </x:c>
      <x:c r="C161" t="str">
        <x:v>Beatriz Costa</x:v>
      </x:c>
      <x:c r="D161" s="32" t="n">
        <x:v>46119</x:v>
      </x:c>
      <x:c r="E161" t="str">
        <x:v>2026-04</x:v>
      </x:c>
      <x:c r="F161" s="34" t="n">
        <x:v>4</x:v>
      </x:c>
      <x:c r="G161" t="str">
        <x:v>ENTREGUE</x:v>
      </x:c>
      <x:c r="H161" t="str">
        <x:v>Site</x:v>
      </x:c>
      <x:c r="I161" t="str">
        <x:v>Cartão crédito</x:v>
      </x:c>
      <x:c r="J161" s="36" t="n">
        <x:v>22.03</x:v>
      </x:c>
      <x:c r="K161" s="34" t="n">
        <x:v>5</x:v>
      </x:c>
      <x:c r="L161" t="str"/>
      <x:c r="M161" s="34" t="n">
        <x:v>7</x:v>
      </x:c>
      <x:c r="N161" s="34" t="n">
        <x:v>4</x:v>
      </x:c>
      <x:c r="O161" s="36" t="n">
        <x:v>3389.3</x:v>
      </x:c>
      <x:c r="P161" s="36" t="n">
        <x:v>392.05</x:v>
      </x:c>
      <x:c r="Q161" s="36" t="n">
        <x:v>2997.25</x:v>
      </x:c>
      <x:c r="R161" s="36" t="n">
        <x:v>2547</x:v>
      </x:c>
      <x:c r="S161" s="36" t="n">
        <x:v>450.25</x:v>
      </x:c>
      <x:c r="T161" s="36" t="n">
        <x:v>2997.25</x:v>
      </x:c>
      <x:c r="U161" s="38" t="n">
        <x:v>0.1502</x:v>
      </x:c>
    </x:row>
    <x:row r="162">
      <x:c r="A162" s="34" t="n">
        <x:v>161</x:v>
      </x:c>
      <x:c r="B162" s="34" t="n">
        <x:v>53</x:v>
      </x:c>
      <x:c r="C162" t="str">
        <x:v>Carla Almeida</x:v>
      </x:c>
      <x:c r="D162" s="32" t="n">
        <x:v>46177</x:v>
      </x:c>
      <x:c r="E162" t="str">
        <x:v>2026-06</x:v>
      </x:c>
      <x:c r="F162" s="34" t="n">
        <x:v>2</x:v>
      </x:c>
      <x:c r="G162" t="str">
        <x:v>EM PROCESSAMENTO</x:v>
      </x:c>
      <x:c r="H162" t="str">
        <x:v>Marketplace</x:v>
      </x:c>
      <x:c r="I162" t="str">
        <x:v>Boleto</x:v>
      </x:c>
      <x:c r="J162" s="36" t="n">
        <x:v>59.12</x:v>
      </x:c>
      <x:c r="K162" s="34"/>
      <x:c r="L162" t="str"/>
      <x:c r="M162" s="34" t="n">
        <x:v>3</x:v>
      </x:c>
      <x:c r="N162" s="34" t="n">
        <x:v>3</x:v>
      </x:c>
      <x:c r="O162" s="36" t="n">
        <x:v>919.7</x:v>
      </x:c>
      <x:c r="P162" s="36" t="n">
        <x:v>38.2</x:v>
      </x:c>
      <x:c r="Q162" s="36" t="n">
        <x:v>881.5</x:v>
      </x:c>
      <x:c r="R162" s="36" t="n">
        <x:v>610</x:v>
      </x:c>
      <x:c r="S162" s="36" t="n">
        <x:v>271.5</x:v>
      </x:c>
      <x:c r="T162" s="36" t="n">
        <x:v>881.5</x:v>
      </x:c>
      <x:c r="U162" s="38" t="n">
        <x:v>0.308</x:v>
      </x:c>
    </x:row>
    <x:row r="163">
      <x:c r="A163" s="34" t="n">
        <x:v>162</x:v>
      </x:c>
      <x:c r="B163" s="34" t="n">
        <x:v>23</x:v>
      </x:c>
      <x:c r="C163" t="str">
        <x:v>Matheus Silva</x:v>
      </x:c>
      <x:c r="D163" s="32" t="n">
        <x:v>46159</x:v>
      </x:c>
      <x:c r="E163" t="str">
        <x:v>2026-05</x:v>
      </x:c>
      <x:c r="F163" s="34" t="n">
        <x:v>4</x:v>
      </x:c>
      <x:c r="G163" t="str">
        <x:v>ENTREGUE</x:v>
      </x:c>
      <x:c r="H163" t="str">
        <x:v>Site</x:v>
      </x:c>
      <x:c r="I163" t="str">
        <x:v>Cartão crédito</x:v>
      </x:c>
      <x:c r="J163" s="36" t="n">
        <x:v>33</x:v>
      </x:c>
      <x:c r="K163" s="34" t="n">
        <x:v>6</x:v>
      </x:c>
      <x:c r="L163" t="str"/>
      <x:c r="M163" s="34" t="n">
        <x:v>6</x:v>
      </x:c>
      <x:c r="N163" s="34" t="n">
        <x:v>4</x:v>
      </x:c>
      <x:c r="O163" s="36" t="n">
        <x:v>2089.4</x:v>
      </x:c>
      <x:c r="P163" s="36" t="n">
        <x:v>172.97</x:v>
      </x:c>
      <x:c r="Q163" s="36" t="n">
        <x:v>1916.43</x:v>
      </x:c>
      <x:c r="R163" s="36" t="n">
        <x:v>1387</x:v>
      </x:c>
      <x:c r="S163" s="36" t="n">
        <x:v>529.43</x:v>
      </x:c>
      <x:c r="T163" s="36" t="n">
        <x:v>1916.43</x:v>
      </x:c>
      <x:c r="U163" s="38" t="n">
        <x:v>0.2763</x:v>
      </x:c>
    </x:row>
    <x:row r="164">
      <x:c r="A164" s="34" t="n">
        <x:v>163</x:v>
      </x:c>
      <x:c r="B164" s="34" t="n">
        <x:v>38</x:v>
      </x:c>
      <x:c r="C164" t="str">
        <x:v>Diego Santos</x:v>
      </x:c>
      <x:c r="D164" s="32" t="n">
        <x:v>46177</x:v>
      </x:c>
      <x:c r="E164" t="str">
        <x:v>2026-06</x:v>
      </x:c>
      <x:c r="F164" s="34" t="n">
        <x:v>1</x:v>
      </x:c>
      <x:c r="G164" t="str">
        <x:v>PENDENTE</x:v>
      </x:c>
      <x:c r="H164" t="str">
        <x:v>Site</x:v>
      </x:c>
      <x:c r="I164" t="str">
        <x:v>Cartão crédito</x:v>
      </x:c>
      <x:c r="J164" s="36" t="n">
        <x:v>26.6</x:v>
      </x:c>
      <x:c r="K164" s="34"/>
      <x:c r="L164" t="str"/>
      <x:c r="M164" s="34" t="n">
        <x:v>4</x:v>
      </x:c>
      <x:c r="N164" s="34" t="n">
        <x:v>2</x:v>
      </x:c>
      <x:c r="O164" s="36" t="n">
        <x:v>429.6</x:v>
      </x:c>
      <x:c r="P164" s="36" t="n">
        <x:v>13.47</x:v>
      </x:c>
      <x:c r="Q164" s="36" t="n">
        <x:v>416.13</x:v>
      </x:c>
      <x:c r="R164" s="36" t="n">
        <x:v>228</x:v>
      </x:c>
      <x:c r="S164" s="36" t="n">
        <x:v>188.13</x:v>
      </x:c>
      <x:c r="T164" s="36" t="n">
        <x:v>416.13</x:v>
      </x:c>
      <x:c r="U164" s="38" t="n">
        <x:v>0.4521</x:v>
      </x:c>
    </x:row>
    <x:row r="165">
      <x:c r="A165" s="34" t="n">
        <x:v>164</x:v>
      </x:c>
      <x:c r="B165" s="34" t="n">
        <x:v>41</x:v>
      </x:c>
      <x:c r="C165" t="str">
        <x:v>Thiago Costa</x:v>
      </x:c>
      <x:c r="D165" s="32" t="n">
        <x:v>46059</x:v>
      </x:c>
      <x:c r="E165" t="str">
        <x:v>2026-02</x:v>
      </x:c>
      <x:c r="F165" s="34" t="n">
        <x:v>4</x:v>
      </x:c>
      <x:c r="G165" t="str">
        <x:v>ENTREGUE</x:v>
      </x:c>
      <x:c r="H165" t="str">
        <x:v>Site</x:v>
      </x:c>
      <x:c r="I165" t="str">
        <x:v>Pix</x:v>
      </x:c>
      <x:c r="J165" s="36" t="n">
        <x:v>13.62</x:v>
      </x:c>
      <x:c r="K165" s="34" t="n">
        <x:v>3</x:v>
      </x:c>
      <x:c r="L165" t="str"/>
      <x:c r="M165" s="34" t="n">
        <x:v>9</x:v>
      </x:c>
      <x:c r="N165" s="34" t="n">
        <x:v>4</x:v>
      </x:c>
      <x:c r="O165" s="36" t="n">
        <x:v>2489.1</x:v>
      </x:c>
      <x:c r="P165" s="36" t="n">
        <x:v>134.45</x:v>
      </x:c>
      <x:c r="Q165" s="36" t="n">
        <x:v>2354.65</x:v>
      </x:c>
      <x:c r="R165" s="36" t="n">
        <x:v>1590</x:v>
      </x:c>
      <x:c r="S165" s="36" t="n">
        <x:v>764.65</x:v>
      </x:c>
      <x:c r="T165" s="36" t="n">
        <x:v>2354.65</x:v>
      </x:c>
      <x:c r="U165" s="38" t="n">
        <x:v>0.3247</x:v>
      </x:c>
    </x:row>
    <x:row r="166">
      <x:c r="A166" s="34" t="n">
        <x:v>165</x:v>
      </x:c>
      <x:c r="B166" s="34" t="n">
        <x:v>40</x:v>
      </x:c>
      <x:c r="C166" t="str">
        <x:v>Samuel Araujo</x:v>
      </x:c>
      <x:c r="D166" s="32" t="n">
        <x:v>46163</x:v>
      </x:c>
      <x:c r="E166" t="str">
        <x:v>2026-05</x:v>
      </x:c>
      <x:c r="F166" s="34" t="n">
        <x:v>4</x:v>
      </x:c>
      <x:c r="G166" t="str">
        <x:v>ENTREGUE</x:v>
      </x:c>
      <x:c r="H166" t="str">
        <x:v>Site</x:v>
      </x:c>
      <x:c r="I166" t="str">
        <x:v>Boleto</x:v>
      </x:c>
      <x:c r="J166" s="36" t="n">
        <x:v>50.6</x:v>
      </x:c>
      <x:c r="K166" s="34" t="n">
        <x:v>4</x:v>
      </x:c>
      <x:c r="L166" t="str"/>
      <x:c r="M166" s="34" t="n">
        <x:v>1</x:v>
      </x:c>
      <x:c r="N166" s="34" t="n">
        <x:v>1</x:v>
      </x:c>
      <x:c r="O166" s="36" t="n">
        <x:v>329.9</x:v>
      </x:c>
      <x:c r="P166" s="36" t="n">
        <x:v>26.39</x:v>
      </x:c>
      <x:c r="Q166" s="36" t="n">
        <x:v>303.51</x:v>
      </x:c>
      <x:c r="R166" s="36" t="n">
        <x:v>205</x:v>
      </x:c>
      <x:c r="S166" s="36" t="n">
        <x:v>98.51</x:v>
      </x:c>
      <x:c r="T166" s="36" t="n">
        <x:v>303.51</x:v>
      </x:c>
      <x:c r="U166" s="38" t="n">
        <x:v>0.3246</x:v>
      </x:c>
    </x:row>
    <x:row r="167">
      <x:c r="A167" s="34" t="n">
        <x:v>166</x:v>
      </x:c>
      <x:c r="B167" s="34" t="n">
        <x:v>46</x:v>
      </x:c>
      <x:c r="C167" t="str">
        <x:v>Bruno Ribeiro</x:v>
      </x:c>
      <x:c r="D167" s="32" t="n">
        <x:v>46147</x:v>
      </x:c>
      <x:c r="E167" t="str">
        <x:v>2026-05</x:v>
      </x:c>
      <x:c r="F167" s="34" t="n">
        <x:v>2</x:v>
      </x:c>
      <x:c r="G167" t="str">
        <x:v>EM PROCESSAMENTO</x:v>
      </x:c>
      <x:c r="H167" t="str">
        <x:v>Instagram</x:v>
      </x:c>
      <x:c r="I167" t="str">
        <x:v>Pix</x:v>
      </x:c>
      <x:c r="J167" s="36" t="n">
        <x:v>22.42</x:v>
      </x:c>
      <x:c r="K167" s="34"/>
      <x:c r="L167" t="str"/>
      <x:c r="M167" s="34" t="n">
        <x:v>3</x:v>
      </x:c>
      <x:c r="N167" s="34" t="n">
        <x:v>2</x:v>
      </x:c>
      <x:c r="O167" s="36" t="n">
        <x:v>229.7</x:v>
      </x:c>
      <x:c r="P167" s="36" t="n">
        <x:v>9.98</x:v>
      </x:c>
      <x:c r="Q167" s="36" t="n">
        <x:v>219.72</x:v>
      </x:c>
      <x:c r="R167" s="36" t="n">
        <x:v>102</x:v>
      </x:c>
      <x:c r="S167" s="36" t="n">
        <x:v>117.72</x:v>
      </x:c>
      <x:c r="T167" s="36" t="n">
        <x:v>219.72</x:v>
      </x:c>
      <x:c r="U167" s="38" t="n">
        <x:v>0.5358</x:v>
      </x:c>
    </x:row>
    <x:row r="168">
      <x:c r="A168" s="34" t="n">
        <x:v>167</x:v>
      </x:c>
      <x:c r="B168" s="34" t="n">
        <x:v>11</x:v>
      </x:c>
      <x:c r="C168" t="str">
        <x:v>Felipe Martins</x:v>
      </x:c>
      <x:c r="D168" s="32" t="n">
        <x:v>46178</x:v>
      </x:c>
      <x:c r="E168" t="str">
        <x:v>2026-06</x:v>
      </x:c>
      <x:c r="F168" s="34" t="n">
        <x:v>3</x:v>
      </x:c>
      <x:c r="G168" t="str">
        <x:v>ENVIADO</x:v>
      </x:c>
      <x:c r="H168" t="str">
        <x:v>WhatsApp</x:v>
      </x:c>
      <x:c r="I168" t="str">
        <x:v>Pix</x:v>
      </x:c>
      <x:c r="J168" s="36" t="n">
        <x:v>29.02</x:v>
      </x:c>
      <x:c r="K168" s="34" t="n">
        <x:v>1</x:v>
      </x:c>
      <x:c r="L168" t="str"/>
      <x:c r="M168" s="34" t="n">
        <x:v>4</x:v>
      </x:c>
      <x:c r="N168" s="34" t="n">
        <x:v>3</x:v>
      </x:c>
      <x:c r="O168" s="36" t="n">
        <x:v>629.6</x:v>
      </x:c>
      <x:c r="P168" s="36" t="n">
        <x:v>2.99</x:v>
      </x:c>
      <x:c r="Q168" s="36" t="n">
        <x:v>626.61</x:v>
      </x:c>
      <x:c r="R168" s="36" t="n">
        <x:v>364</x:v>
      </x:c>
      <x:c r="S168" s="36" t="n">
        <x:v>262.61</x:v>
      </x:c>
      <x:c r="T168" s="36" t="n">
        <x:v>626.61</x:v>
      </x:c>
      <x:c r="U168" s="38" t="n">
        <x:v>0.4191</x:v>
      </x:c>
    </x:row>
    <x:row r="169">
      <x:c r="A169" s="34" t="n">
        <x:v>168</x:v>
      </x:c>
      <x:c r="B169" s="34" t="n">
        <x:v>47</x:v>
      </x:c>
      <x:c r="C169" t="str">
        <x:v>Nicolas Santos</x:v>
      </x:c>
      <x:c r="D169" s="32" t="n">
        <x:v>46106</x:v>
      </x:c>
      <x:c r="E169" t="str">
        <x:v>2026-03</x:v>
      </x:c>
      <x:c r="F169" s="34" t="n">
        <x:v>4</x:v>
      </x:c>
      <x:c r="G169" t="str">
        <x:v>ENTREGUE</x:v>
      </x:c>
      <x:c r="H169" t="str">
        <x:v>Site</x:v>
      </x:c>
      <x:c r="I169" t="str">
        <x:v>Cartão crédito</x:v>
      </x:c>
      <x:c r="J169" s="36" t="n">
        <x:v>59.38</x:v>
      </x:c>
      <x:c r="K169" s="34" t="n">
        <x:v>4</x:v>
      </x:c>
      <x:c r="L169" t="str"/>
      <x:c r="M169" s="34" t="n">
        <x:v>1</x:v>
      </x:c>
      <x:c r="N169" s="34" t="n">
        <x:v>1</x:v>
      </x:c>
      <x:c r="O169" s="36" t="n">
        <x:v>139.9</x:v>
      </x:c>
      <x:c r="P169" s="36" t="n">
        <x:v>6.99</x:v>
      </x:c>
      <x:c r="Q169" s="36" t="n">
        <x:v>132.91</x:v>
      </x:c>
      <x:c r="R169" s="36" t="n">
        <x:v>69</x:v>
      </x:c>
      <x:c r="S169" s="36" t="n">
        <x:v>63.91</x:v>
      </x:c>
      <x:c r="T169" s="36" t="n">
        <x:v>132.91</x:v>
      </x:c>
      <x:c r="U169" s="38" t="n">
        <x:v>0.4809</x:v>
      </x:c>
    </x:row>
    <x:row r="170">
      <x:c r="A170" s="34" t="n">
        <x:v>169</x:v>
      </x:c>
      <x:c r="B170" s="34" t="n">
        <x:v>28</x:v>
      </x:c>
      <x:c r="C170" t="str">
        <x:v>Gabriela Silva</x:v>
      </x:c>
      <x:c r="D170" s="32" t="n">
        <x:v>46174</x:v>
      </x:c>
      <x:c r="E170" t="str">
        <x:v>2026-06</x:v>
      </x:c>
      <x:c r="F170" s="34" t="n">
        <x:v>4</x:v>
      </x:c>
      <x:c r="G170" t="str">
        <x:v>ENTREGUE</x:v>
      </x:c>
      <x:c r="H170" t="str">
        <x:v>Site</x:v>
      </x:c>
      <x:c r="I170" t="str">
        <x:v>Cartão crédito</x:v>
      </x:c>
      <x:c r="J170" s="36" t="n">
        <x:v>25.22</x:v>
      </x:c>
      <x:c r="K170" s="34" t="n">
        <x:v>1</x:v>
      </x:c>
      <x:c r="L170" t="str"/>
      <x:c r="M170" s="34" t="n">
        <x:v>1</x:v>
      </x:c>
      <x:c r="N170" s="34" t="n">
        <x:v>1</x:v>
      </x:c>
      <x:c r="O170" s="36" t="n">
        <x:v>89.9</x:v>
      </x:c>
      <x:c r="P170" s="36" t="n">
        <x:v>0</x:v>
      </x:c>
      <x:c r="Q170" s="36" t="n">
        <x:v>89.9</x:v>
      </x:c>
      <x:c r="R170" s="36" t="n">
        <x:v>48</x:v>
      </x:c>
      <x:c r="S170" s="36" t="n">
        <x:v>41.9</x:v>
      </x:c>
      <x:c r="T170" s="36" t="n">
        <x:v>89.9</x:v>
      </x:c>
      <x:c r="U170" s="38" t="n">
        <x:v>0.4661</x:v>
      </x:c>
    </x:row>
    <x:row r="171">
      <x:c r="A171" s="34" t="n">
        <x:v>170</x:v>
      </x:c>
      <x:c r="B171" s="34" t="n">
        <x:v>4</x:v>
      </x:c>
      <x:c r="C171" t="str">
        <x:v>Letícia Santos</x:v>
      </x:c>
      <x:c r="D171" s="32" t="n">
        <x:v>46039</x:v>
      </x:c>
      <x:c r="E171" t="str">
        <x:v>2026-01</x:v>
      </x:c>
      <x:c r="F171" s="34" t="n">
        <x:v>3</x:v>
      </x:c>
      <x:c r="G171" t="str">
        <x:v>ENVIADO</x:v>
      </x:c>
      <x:c r="H171" t="str">
        <x:v>Site</x:v>
      </x:c>
      <x:c r="I171" t="str">
        <x:v>Cartão débito</x:v>
      </x:c>
      <x:c r="J171" s="36" t="n">
        <x:v>37.57</x:v>
      </x:c>
      <x:c r="K171" s="34" t="n">
        <x:v>3</x:v>
      </x:c>
      <x:c r="L171" t="str"/>
      <x:c r="M171" s="34" t="n">
        <x:v>1</x:v>
      </x:c>
      <x:c r="N171" s="34" t="n">
        <x:v>1</x:v>
      </x:c>
      <x:c r="O171" s="36" t="n">
        <x:v>259.9</x:v>
      </x:c>
      <x:c r="P171" s="36" t="n">
        <x:v>0</x:v>
      </x:c>
      <x:c r="Q171" s="36" t="n">
        <x:v>259.9</x:v>
      </x:c>
      <x:c r="R171" s="36" t="n">
        <x:v>158</x:v>
      </x:c>
      <x:c r="S171" s="36" t="n">
        <x:v>101.9</x:v>
      </x:c>
      <x:c r="T171" s="36" t="n">
        <x:v>259.9</x:v>
      </x:c>
      <x:c r="U171" s="38" t="n">
        <x:v>0.3921</x:v>
      </x:c>
    </x:row>
    <x:row r="172">
      <x:c r="A172" s="34" t="n">
        <x:v>171</x:v>
      </x:c>
      <x:c r="B172" s="34" t="n">
        <x:v>14</x:v>
      </x:c>
      <x:c r="C172" t="str">
        <x:v>Diego Carvalho</x:v>
      </x:c>
      <x:c r="D172" s="32" t="n">
        <x:v>46052</x:v>
      </x:c>
      <x:c r="E172" t="str">
        <x:v>2026-01</x:v>
      </x:c>
      <x:c r="F172" s="34" t="n">
        <x:v>2</x:v>
      </x:c>
      <x:c r="G172" t="str">
        <x:v>EM PROCESSAMENTO</x:v>
      </x:c>
      <x:c r="H172" t="str">
        <x:v>Indicação</x:v>
      </x:c>
      <x:c r="I172" t="str">
        <x:v>Cartão crédito</x:v>
      </x:c>
      <x:c r="J172" s="36" t="n">
        <x:v>27.31</x:v>
      </x:c>
      <x:c r="K172" s="34"/>
      <x:c r="L172" t="str"/>
      <x:c r="M172" s="34" t="n">
        <x:v>2</x:v>
      </x:c>
      <x:c r="N172" s="34" t="n">
        <x:v>1</x:v>
      </x:c>
      <x:c r="O172" s="36" t="n">
        <x:v>79.8</x:v>
      </x:c>
      <x:c r="P172" s="36" t="n">
        <x:v>0</x:v>
      </x:c>
      <x:c r="Q172" s="36" t="n">
        <x:v>79.8</x:v>
      </x:c>
      <x:c r="R172" s="36" t="n">
        <x:v>34</x:v>
      </x:c>
      <x:c r="S172" s="36" t="n">
        <x:v>45.8</x:v>
      </x:c>
      <x:c r="T172" s="36" t="n">
        <x:v>79.8</x:v>
      </x:c>
      <x:c r="U172" s="38" t="n">
        <x:v>0.5739</x:v>
      </x:c>
    </x:row>
    <x:row r="173">
      <x:c r="A173" s="34" t="n">
        <x:v>172</x:v>
      </x:c>
      <x:c r="B173" s="34" t="n">
        <x:v>12</x:v>
      </x:c>
      <x:c r="C173" t="str">
        <x:v>Renan Silva</x:v>
      </x:c>
      <x:c r="D173" s="32" t="n">
        <x:v>46177</x:v>
      </x:c>
      <x:c r="E173" t="str">
        <x:v>2026-06</x:v>
      </x:c>
      <x:c r="F173" s="34" t="n">
        <x:v>4</x:v>
      </x:c>
      <x:c r="G173" t="str">
        <x:v>ENTREGUE</x:v>
      </x:c>
      <x:c r="H173" t="str">
        <x:v>Site</x:v>
      </x:c>
      <x:c r="I173" t="str">
        <x:v>Cartão débito</x:v>
      </x:c>
      <x:c r="J173" s="36" t="n">
        <x:v>44.22</x:v>
      </x:c>
      <x:c r="K173" s="34" t="n">
        <x:v>3</x:v>
      </x:c>
      <x:c r="L173" t="str"/>
      <x:c r="M173" s="34" t="n">
        <x:v>2</x:v>
      </x:c>
      <x:c r="N173" s="34" t="n">
        <x:v>1</x:v>
      </x:c>
      <x:c r="O173" s="36" t="n">
        <x:v>239.8</x:v>
      </x:c>
      <x:c r="P173" s="36" t="n">
        <x:v>0</x:v>
      </x:c>
      <x:c r="Q173" s="36" t="n">
        <x:v>239.8</x:v>
      </x:c>
      <x:c r="R173" s="36" t="n">
        <x:v>116</x:v>
      </x:c>
      <x:c r="S173" s="36" t="n">
        <x:v>123.8</x:v>
      </x:c>
      <x:c r="T173" s="36" t="n">
        <x:v>239.8</x:v>
      </x:c>
      <x:c r="U173" s="38" t="n">
        <x:v>0.5163</x:v>
      </x:c>
    </x:row>
    <x:row r="174">
      <x:c r="A174" s="34" t="n">
        <x:v>173</x:v>
      </x:c>
      <x:c r="B174" s="34" t="n">
        <x:v>7</x:v>
      </x:c>
      <x:c r="C174" t="str">
        <x:v>Thiago Gomes</x:v>
      </x:c>
      <x:c r="D174" s="32" t="n">
        <x:v>46054</x:v>
      </x:c>
      <x:c r="E174" t="str">
        <x:v>2026-02</x:v>
      </x:c>
      <x:c r="F174" s="34" t="n">
        <x:v>4</x:v>
      </x:c>
      <x:c r="G174" t="str">
        <x:v>ENTREGUE</x:v>
      </x:c>
      <x:c r="H174" t="str">
        <x:v>Marketplace</x:v>
      </x:c>
      <x:c r="I174" t="str">
        <x:v>Cartão débito</x:v>
      </x:c>
      <x:c r="J174" s="36" t="n">
        <x:v>35.76</x:v>
      </x:c>
      <x:c r="K174" s="34" t="n">
        <x:v>2</x:v>
      </x:c>
      <x:c r="L174" t="str"/>
      <x:c r="M174" s="34" t="n">
        <x:v>3</x:v>
      </x:c>
      <x:c r="N174" s="34" t="n">
        <x:v>1</x:v>
      </x:c>
      <x:c r="O174" s="36" t="n">
        <x:v>89.7</x:v>
      </x:c>
      <x:c r="P174" s="36" t="n">
        <x:v>0</x:v>
      </x:c>
      <x:c r="Q174" s="36" t="n">
        <x:v>89.7</x:v>
      </x:c>
      <x:c r="R174" s="36" t="n">
        <x:v>30</x:v>
      </x:c>
      <x:c r="S174" s="36" t="n">
        <x:v>59.7</x:v>
      </x:c>
      <x:c r="T174" s="36" t="n">
        <x:v>89.7</x:v>
      </x:c>
      <x:c r="U174" s="38" t="n">
        <x:v>0.6656</x:v>
      </x:c>
    </x:row>
    <x:row r="175">
      <x:c r="A175" s="34" t="n">
        <x:v>174</x:v>
      </x:c>
      <x:c r="B175" s="34" t="n">
        <x:v>56</x:v>
      </x:c>
      <x:c r="C175" t="str">
        <x:v>Olívia Lima</x:v>
      </x:c>
      <x:c r="D175" s="32" t="n">
        <x:v>46168</x:v>
      </x:c>
      <x:c r="E175" t="str">
        <x:v>2026-05</x:v>
      </x:c>
      <x:c r="F175" s="34" t="n">
        <x:v>4</x:v>
      </x:c>
      <x:c r="G175" t="str">
        <x:v>ENTREGUE</x:v>
      </x:c>
      <x:c r="H175" t="str">
        <x:v>WhatsApp</x:v>
      </x:c>
      <x:c r="I175" t="str">
        <x:v>Boleto</x:v>
      </x:c>
      <x:c r="J175" s="36" t="n">
        <x:v>23.18</x:v>
      </x:c>
      <x:c r="K175" s="34" t="n">
        <x:v>2</x:v>
      </x:c>
      <x:c r="L175" t="str"/>
      <x:c r="M175" s="34" t="n">
        <x:v>3</x:v>
      </x:c>
      <x:c r="N175" s="34" t="n">
        <x:v>3</x:v>
      </x:c>
      <x:c r="O175" s="36" t="n">
        <x:v>489.7</x:v>
      </x:c>
      <x:c r="P175" s="36" t="n">
        <x:v>36.98</x:v>
      </x:c>
      <x:c r="Q175" s="36" t="n">
        <x:v>452.72</x:v>
      </x:c>
      <x:c r="R175" s="36" t="n">
        <x:v>280</x:v>
      </x:c>
      <x:c r="S175" s="36" t="n">
        <x:v>172.72</x:v>
      </x:c>
      <x:c r="T175" s="36" t="n">
        <x:v>452.72</x:v>
      </x:c>
      <x:c r="U175" s="38" t="n">
        <x:v>0.3815</x:v>
      </x:c>
    </x:row>
    <x:row r="176">
      <x:c r="A176" s="34" t="n">
        <x:v>175</x:v>
      </x:c>
      <x:c r="B176" s="34" t="n">
        <x:v>3</x:v>
      </x:c>
      <x:c r="C176" t="str">
        <x:v>Matheus Almeida</x:v>
      </x:c>
      <x:c r="D176" s="32" t="n">
        <x:v>46050</x:v>
      </x:c>
      <x:c r="E176" t="str">
        <x:v>2026-01</x:v>
      </x:c>
      <x:c r="F176" s="34" t="n">
        <x:v>3</x:v>
      </x:c>
      <x:c r="G176" t="str">
        <x:v>ENVIADO</x:v>
      </x:c>
      <x:c r="H176" t="str">
        <x:v>Marketplace</x:v>
      </x:c>
      <x:c r="I176" t="str">
        <x:v>Pix</x:v>
      </x:c>
      <x:c r="J176" s="36" t="n">
        <x:v>30.21</x:v>
      </x:c>
      <x:c r="K176" s="34" t="n">
        <x:v>1</x:v>
      </x:c>
      <x:c r="L176" t="str"/>
      <x:c r="M176" s="34" t="n">
        <x:v>2</x:v>
      </x:c>
      <x:c r="N176" s="34" t="n">
        <x:v>1</x:v>
      </x:c>
      <x:c r="O176" s="36" t="n">
        <x:v>1399.8</x:v>
      </x:c>
      <x:c r="P176" s="36" t="n">
        <x:v>139.98</x:v>
      </x:c>
      <x:c r="Q176" s="36" t="n">
        <x:v>1259.82</x:v>
      </x:c>
      <x:c r="R176" s="36" t="n">
        <x:v>996</x:v>
      </x:c>
      <x:c r="S176" s="36" t="n">
        <x:v>263.82</x:v>
      </x:c>
      <x:c r="T176" s="36" t="n">
        <x:v>1259.82</x:v>
      </x:c>
      <x:c r="U176" s="38" t="n">
        <x:v>0.2094</x:v>
      </x:c>
    </x:row>
    <x:row r="177">
      <x:c r="A177" s="34" t="n">
        <x:v>176</x:v>
      </x:c>
      <x:c r="B177" s="34" t="n">
        <x:v>25</x:v>
      </x:c>
      <x:c r="C177" t="str">
        <x:v>Renan Carvalho</x:v>
      </x:c>
      <x:c r="D177" s="32" t="n">
        <x:v>46083</x:v>
      </x:c>
      <x:c r="E177" t="str">
        <x:v>2026-03</x:v>
      </x:c>
      <x:c r="F177" s="34" t="n">
        <x:v>2</x:v>
      </x:c>
      <x:c r="G177" t="str">
        <x:v>EM PROCESSAMENTO</x:v>
      </x:c>
      <x:c r="H177" t="str">
        <x:v>Site</x:v>
      </x:c>
      <x:c r="I177" t="str">
        <x:v>Cartão crédito</x:v>
      </x:c>
      <x:c r="J177" s="36" t="n">
        <x:v>14.33</x:v>
      </x:c>
      <x:c r="K177" s="34"/>
      <x:c r="L177" t="str"/>
      <x:c r="M177" s="34" t="n">
        <x:v>2</x:v>
      </x:c>
      <x:c r="N177" s="34" t="n">
        <x:v>2</x:v>
      </x:c>
      <x:c r="O177" s="36" t="n">
        <x:v>449.8</x:v>
      </x:c>
      <x:c r="P177" s="36" t="n">
        <x:v>13</x:v>
      </x:c>
      <x:c r="Q177" s="36" t="n">
        <x:v>436.8</x:v>
      </x:c>
      <x:c r="R177" s="36" t="n">
        <x:v>261</x:v>
      </x:c>
      <x:c r="S177" s="36" t="n">
        <x:v>175.8</x:v>
      </x:c>
      <x:c r="T177" s="36" t="n">
        <x:v>436.8</x:v>
      </x:c>
      <x:c r="U177" s="38" t="n">
        <x:v>0.4025</x:v>
      </x:c>
    </x:row>
    <x:row r="178">
      <x:c r="A178" s="34" t="n">
        <x:v>177</x:v>
      </x:c>
      <x:c r="B178" s="34" t="n">
        <x:v>38</x:v>
      </x:c>
      <x:c r="C178" t="str">
        <x:v>Diego Santos</x:v>
      </x:c>
      <x:c r="D178" s="32" t="n">
        <x:v>46055</x:v>
      </x:c>
      <x:c r="E178" t="str">
        <x:v>2026-02</x:v>
      </x:c>
      <x:c r="F178" s="34" t="n">
        <x:v>4</x:v>
      </x:c>
      <x:c r="G178" t="str">
        <x:v>ENTREGUE</x:v>
      </x:c>
      <x:c r="H178" t="str">
        <x:v>Site</x:v>
      </x:c>
      <x:c r="I178" t="str">
        <x:v>Cartão crédito</x:v>
      </x:c>
      <x:c r="J178" s="36" t="n">
        <x:v>20.36</x:v>
      </x:c>
      <x:c r="K178" s="34" t="n">
        <x:v>4</x:v>
      </x:c>
      <x:c r="L178" t="str"/>
      <x:c r="M178" s="34" t="n">
        <x:v>2</x:v>
      </x:c>
      <x:c r="N178" s="34" t="n">
        <x:v>2</x:v>
      </x:c>
      <x:c r="O178" s="36" t="n">
        <x:v>219.8</x:v>
      </x:c>
      <x:c r="P178" s="36" t="n">
        <x:v>0</x:v>
      </x:c>
      <x:c r="Q178" s="36" t="n">
        <x:v>219.8</x:v>
      </x:c>
      <x:c r="R178" s="36" t="n">
        <x:v>106</x:v>
      </x:c>
      <x:c r="S178" s="36" t="n">
        <x:v>113.8</x:v>
      </x:c>
      <x:c r="T178" s="36" t="n">
        <x:v>219.8</x:v>
      </x:c>
      <x:c r="U178" s="38" t="n">
        <x:v>0.5177</x:v>
      </x:c>
    </x:row>
    <x:row r="179">
      <x:c r="A179" s="34" t="n">
        <x:v>178</x:v>
      </x:c>
      <x:c r="B179" s="34" t="n">
        <x:v>10</x:v>
      </x:c>
      <x:c r="C179" t="str">
        <x:v>Tatiane Rodrigues</x:v>
      </x:c>
      <x:c r="D179" s="32" t="n">
        <x:v>46131</x:v>
      </x:c>
      <x:c r="E179" t="str">
        <x:v>2026-04</x:v>
      </x:c>
      <x:c r="F179" s="34" t="n">
        <x:v>4</x:v>
      </x:c>
      <x:c r="G179" t="str">
        <x:v>ENTREGUE</x:v>
      </x:c>
      <x:c r="H179" t="str">
        <x:v>Instagram</x:v>
      </x:c>
      <x:c r="I179" t="str">
        <x:v>Pix</x:v>
      </x:c>
      <x:c r="J179" s="36" t="n">
        <x:v>46.06</x:v>
      </x:c>
      <x:c r="K179" s="34" t="n">
        <x:v>5</x:v>
      </x:c>
      <x:c r="L179" t="str"/>
      <x:c r="M179" s="34" t="n">
        <x:v>4</x:v>
      </x:c>
      <x:c r="N179" s="34" t="n">
        <x:v>2</x:v>
      </x:c>
      <x:c r="O179" s="36" t="n">
        <x:v>649.6</x:v>
      </x:c>
      <x:c r="P179" s="36" t="n">
        <x:v>0</x:v>
      </x:c>
      <x:c r="Q179" s="36" t="n">
        <x:v>649.6</x:v>
      </x:c>
      <x:c r="R179" s="36" t="n">
        <x:v>356</x:v>
      </x:c>
      <x:c r="S179" s="36" t="n">
        <x:v>293.6</x:v>
      </x:c>
      <x:c r="T179" s="36" t="n">
        <x:v>649.6</x:v>
      </x:c>
      <x:c r="U179" s="38" t="n">
        <x:v>0.452</x:v>
      </x:c>
    </x:row>
    <x:row r="180">
      <x:c r="A180" s="34" t="n">
        <x:v>179</x:v>
      </x:c>
      <x:c r="B180" s="34" t="n">
        <x:v>55</x:v>
      </x:c>
      <x:c r="C180" t="str">
        <x:v>Henrique Araujo</x:v>
      </x:c>
      <x:c r="D180" s="32" t="n">
        <x:v>46112</x:v>
      </x:c>
      <x:c r="E180" t="str">
        <x:v>2026-03</x:v>
      </x:c>
      <x:c r="F180" s="34" t="n">
        <x:v>4</x:v>
      </x:c>
      <x:c r="G180" t="str">
        <x:v>ENTREGUE</x:v>
      </x:c>
      <x:c r="H180" t="str">
        <x:v>WhatsApp</x:v>
      </x:c>
      <x:c r="I180" t="str">
        <x:v>Cartão crédito</x:v>
      </x:c>
      <x:c r="J180" s="36" t="n">
        <x:v>36.72</x:v>
      </x:c>
      <x:c r="K180" s="34" t="n">
        <x:v>3</x:v>
      </x:c>
      <x:c r="L180" t="str"/>
      <x:c r="M180" s="34" t="n">
        <x:v>2</x:v>
      </x:c>
      <x:c r="N180" s="34" t="n">
        <x:v>2</x:v>
      </x:c>
      <x:c r="O180" s="36" t="n">
        <x:v>279.8</x:v>
      </x:c>
      <x:c r="P180" s="36" t="n">
        <x:v>15.19</x:v>
      </x:c>
      <x:c r="Q180" s="36" t="n">
        <x:v>264.61</x:v>
      </x:c>
      <x:c r="R180" s="36" t="n">
        <x:v>151</x:v>
      </x:c>
      <x:c r="S180" s="36" t="n">
        <x:v>113.61</x:v>
      </x:c>
      <x:c r="T180" s="36" t="n">
        <x:v>264.61</x:v>
      </x:c>
      <x:c r="U180" s="38" t="n">
        <x:v>0.4293</x:v>
      </x:c>
    </x:row>
    <x:row r="181">
      <x:c r="A181" s="34" t="n">
        <x:v>180</x:v>
      </x:c>
      <x:c r="B181" s="34" t="n">
        <x:v>49</x:v>
      </x:c>
      <x:c r="C181" t="str">
        <x:v>Caio Ribeiro</x:v>
      </x:c>
      <x:c r="D181" s="32" t="n">
        <x:v>46112</x:v>
      </x:c>
      <x:c r="E181" t="str">
        <x:v>2026-03</x:v>
      </x:c>
      <x:c r="F181" s="34" t="n">
        <x:v>4</x:v>
      </x:c>
      <x:c r="G181" t="str">
        <x:v>ENTREGUE</x:v>
      </x:c>
      <x:c r="H181" t="str">
        <x:v>Instagram</x:v>
      </x:c>
      <x:c r="I181" t="str">
        <x:v>Cartão crédito</x:v>
      </x:c>
      <x:c r="J181" s="36" t="n">
        <x:v>13.4</x:v>
      </x:c>
      <x:c r="K181" s="34" t="n">
        <x:v>6</x:v>
      </x:c>
      <x:c r="L181" t="str"/>
      <x:c r="M181" s="34" t="n">
        <x:v>4</x:v>
      </x:c>
      <x:c r="N181" s="34" t="n">
        <x:v>2</x:v>
      </x:c>
      <x:c r="O181" s="36" t="n">
        <x:v>159.6</x:v>
      </x:c>
      <x:c r="P181" s="36" t="n">
        <x:v>0</x:v>
      </x:c>
      <x:c r="Q181" s="36" t="n">
        <x:v>159.6</x:v>
      </x:c>
      <x:c r="R181" s="36" t="n">
        <x:v>70</x:v>
      </x:c>
      <x:c r="S181" s="36" t="n">
        <x:v>89.6</x:v>
      </x:c>
      <x:c r="T181" s="36" t="n">
        <x:v>159.6</x:v>
      </x:c>
      <x:c r="U181" s="38" t="n">
        <x:v>0.5614</x:v>
      </x:c>
    </x:row>
    <x:row r="182">
      <x:c r="A182" s="34" t="n">
        <x:v>181</x:v>
      </x:c>
      <x:c r="B182" s="34" t="n">
        <x:v>3</x:v>
      </x:c>
      <x:c r="C182" t="str">
        <x:v>Matheus Almeida</x:v>
      </x:c>
      <x:c r="D182" s="32" t="n">
        <x:v>46176</x:v>
      </x:c>
      <x:c r="E182" t="str">
        <x:v>2026-06</x:v>
      </x:c>
      <x:c r="F182" s="34" t="n">
        <x:v>1</x:v>
      </x:c>
      <x:c r="G182" t="str">
        <x:v>PENDENTE</x:v>
      </x:c>
      <x:c r="H182" t="str">
        <x:v>Site</x:v>
      </x:c>
      <x:c r="I182" t="str">
        <x:v>Cartão crédito</x:v>
      </x:c>
      <x:c r="J182" s="36" t="n">
        <x:v>38.87</x:v>
      </x:c>
      <x:c r="K182" s="34"/>
      <x:c r="L182" t="str"/>
      <x:c r="M182" s="34" t="n">
        <x:v>1</x:v>
      </x:c>
      <x:c r="N182" s="34" t="n">
        <x:v>1</x:v>
      </x:c>
      <x:c r="O182" s="36" t="n">
        <x:v>79.9</x:v>
      </x:c>
      <x:c r="P182" s="36" t="n">
        <x:v>0</x:v>
      </x:c>
      <x:c r="Q182" s="36" t="n">
        <x:v>79.9</x:v>
      </x:c>
      <x:c r="R182" s="36" t="n">
        <x:v>37</x:v>
      </x:c>
      <x:c r="S182" s="36" t="n">
        <x:v>42.9</x:v>
      </x:c>
      <x:c r="T182" s="36" t="n">
        <x:v>79.9</x:v>
      </x:c>
      <x:c r="U182" s="38" t="n">
        <x:v>0.5369</x:v>
      </x:c>
    </x:row>
    <x:row r="183">
      <x:c r="A183" s="34" t="n">
        <x:v>182</x:v>
      </x:c>
      <x:c r="B183" s="34" t="n">
        <x:v>39</x:v>
      </x:c>
      <x:c r="C183" t="str">
        <x:v>Eduarda Silva</x:v>
      </x:c>
      <x:c r="D183" s="32" t="n">
        <x:v>46077</x:v>
      </x:c>
      <x:c r="E183" t="str">
        <x:v>2026-02</x:v>
      </x:c>
      <x:c r="F183" s="34" t="n">
        <x:v>4</x:v>
      </x:c>
      <x:c r="G183" t="str">
        <x:v>ENTREGUE</x:v>
      </x:c>
      <x:c r="H183" t="str">
        <x:v>WhatsApp</x:v>
      </x:c>
      <x:c r="I183" t="str">
        <x:v>Pix</x:v>
      </x:c>
      <x:c r="J183" s="36" t="n">
        <x:v>18.2</x:v>
      </x:c>
      <x:c r="K183" s="34" t="n">
        <x:v>2</x:v>
      </x:c>
      <x:c r="L183" t="str"/>
      <x:c r="M183" s="34" t="n">
        <x:v>2</x:v>
      </x:c>
      <x:c r="N183" s="34" t="n">
        <x:v>1</x:v>
      </x:c>
      <x:c r="O183" s="36" t="n">
        <x:v>279.8</x:v>
      </x:c>
      <x:c r="P183" s="36" t="n">
        <x:v>0</x:v>
      </x:c>
      <x:c r="Q183" s="36" t="n">
        <x:v>279.8</x:v>
      </x:c>
      <x:c r="R183" s="36" t="n">
        <x:v>138</x:v>
      </x:c>
      <x:c r="S183" s="36" t="n">
        <x:v>141.8</x:v>
      </x:c>
      <x:c r="T183" s="36" t="n">
        <x:v>279.8</x:v>
      </x:c>
      <x:c r="U183" s="38" t="n">
        <x:v>0.5068</x:v>
      </x:c>
    </x:row>
    <x:row r="184">
      <x:c r="A184" s="34" t="n">
        <x:v>183</x:v>
      </x:c>
      <x:c r="B184" s="34" t="n">
        <x:v>4</x:v>
      </x:c>
      <x:c r="C184" t="str">
        <x:v>Letícia Santos</x:v>
      </x:c>
      <x:c r="D184" s="32" t="n">
        <x:v>46102</x:v>
      </x:c>
      <x:c r="E184" t="str">
        <x:v>2026-03</x:v>
      </x:c>
      <x:c r="F184" s="34" t="n">
        <x:v>1</x:v>
      </x:c>
      <x:c r="G184" t="str">
        <x:v>PENDENTE</x:v>
      </x:c>
      <x:c r="H184" t="str">
        <x:v>Indicação</x:v>
      </x:c>
      <x:c r="I184" t="str">
        <x:v>Cartão crédito</x:v>
      </x:c>
      <x:c r="J184" s="36" t="n">
        <x:v>52.57</x:v>
      </x:c>
      <x:c r="K184" s="34"/>
      <x:c r="L184" t="str"/>
      <x:c r="M184" s="34" t="n">
        <x:v>1</x:v>
      </x:c>
      <x:c r="N184" s="34" t="n">
        <x:v>1</x:v>
      </x:c>
      <x:c r="O184" s="36" t="n">
        <x:v>329.9</x:v>
      </x:c>
      <x:c r="P184" s="36" t="n">
        <x:v>0</x:v>
      </x:c>
      <x:c r="Q184" s="36" t="n">
        <x:v>329.9</x:v>
      </x:c>
      <x:c r="R184" s="36" t="n">
        <x:v>205</x:v>
      </x:c>
      <x:c r="S184" s="36" t="n">
        <x:v>124.9</x:v>
      </x:c>
      <x:c r="T184" s="36" t="n">
        <x:v>329.9</x:v>
      </x:c>
      <x:c r="U184" s="38" t="n">
        <x:v>0.3786</x:v>
      </x:c>
    </x:row>
    <x:row r="185">
      <x:c r="A185" s="34" t="n">
        <x:v>184</x:v>
      </x:c>
      <x:c r="B185" s="34" t="n">
        <x:v>2</x:v>
      </x:c>
      <x:c r="C185" t="str">
        <x:v>Beatriz Costa</x:v>
      </x:c>
      <x:c r="D185" s="32" t="n">
        <x:v>46169</x:v>
      </x:c>
      <x:c r="E185" t="str">
        <x:v>2026-05</x:v>
      </x:c>
      <x:c r="F185" s="34" t="n">
        <x:v>4</x:v>
      </x:c>
      <x:c r="G185" t="str">
        <x:v>ENTREGUE</x:v>
      </x:c>
      <x:c r="H185" t="str">
        <x:v>Site</x:v>
      </x:c>
      <x:c r="I185" t="str">
        <x:v>Cartão crédito</x:v>
      </x:c>
      <x:c r="J185" s="36" t="n">
        <x:v>12</x:v>
      </x:c>
      <x:c r="K185" s="34" t="n">
        <x:v>1</x:v>
      </x:c>
      <x:c r="L185" t="str"/>
      <x:c r="M185" s="34" t="n">
        <x:v>6</x:v>
      </x:c>
      <x:c r="N185" s="34" t="n">
        <x:v>3</x:v>
      </x:c>
      <x:c r="O185" s="36" t="n">
        <x:v>1159.4</x:v>
      </x:c>
      <x:c r="P185" s="36" t="n">
        <x:v>46.38</x:v>
      </x:c>
      <x:c r="Q185" s="36" t="n">
        <x:v>1113.02</x:v>
      </x:c>
      <x:c r="R185" s="36" t="n">
        <x:v>648</x:v>
      </x:c>
      <x:c r="S185" s="36" t="n">
        <x:v>465.02</x:v>
      </x:c>
      <x:c r="T185" s="36" t="n">
        <x:v>1113.02</x:v>
      </x:c>
      <x:c r="U185" s="38" t="n">
        <x:v>0.4178</x:v>
      </x:c>
    </x:row>
    <x:row r="186">
      <x:c r="A186" s="34" t="n">
        <x:v>185</x:v>
      </x:c>
      <x:c r="B186" s="34" t="n">
        <x:v>34</x:v>
      </x:c>
      <x:c r="C186" t="str">
        <x:v>Vitor Martins</x:v>
      </x:c>
      <x:c r="D186" s="32" t="n">
        <x:v>46168</x:v>
      </x:c>
      <x:c r="E186" t="str">
        <x:v>2026-05</x:v>
      </x:c>
      <x:c r="F186" s="34" t="n">
        <x:v>4</x:v>
      </x:c>
      <x:c r="G186" t="str">
        <x:v>ENTREGUE</x:v>
      </x:c>
      <x:c r="H186" t="str">
        <x:v>WhatsApp</x:v>
      </x:c>
      <x:c r="I186" t="str">
        <x:v>Pix</x:v>
      </x:c>
      <x:c r="J186" s="36" t="n">
        <x:v>23.52</x:v>
      </x:c>
      <x:c r="K186" s="34" t="n">
        <x:v>3</x:v>
      </x:c>
      <x:c r="L186" t="str"/>
      <x:c r="M186" s="34" t="n">
        <x:v>3</x:v>
      </x:c>
      <x:c r="N186" s="34" t="n">
        <x:v>3</x:v>
      </x:c>
      <x:c r="O186" s="36" t="n">
        <x:v>379.7</x:v>
      </x:c>
      <x:c r="P186" s="36" t="n">
        <x:v>30.07</x:v>
      </x:c>
      <x:c r="Q186" s="36" t="n">
        <x:v>349.63</x:v>
      </x:c>
      <x:c r="R186" s="36" t="n">
        <x:v>204</x:v>
      </x:c>
      <x:c r="S186" s="36" t="n">
        <x:v>145.63</x:v>
      </x:c>
      <x:c r="T186" s="36" t="n">
        <x:v>349.63</x:v>
      </x:c>
      <x:c r="U186" s="38" t="n">
        <x:v>0.4165</x:v>
      </x:c>
    </x:row>
    <x:row r="187">
      <x:c r="A187" s="34" t="n">
        <x:v>186</x:v>
      </x:c>
      <x:c r="B187" s="34" t="n">
        <x:v>20</x:v>
      </x:c>
      <x:c r="C187" t="str">
        <x:v>Henrique Silva</x:v>
      </x:c>
      <x:c r="D187" s="32" t="n">
        <x:v>46170</x:v>
      </x:c>
      <x:c r="E187" t="str">
        <x:v>2026-05</x:v>
      </x:c>
      <x:c r="F187" s="34" t="n">
        <x:v>4</x:v>
      </x:c>
      <x:c r="G187" t="str">
        <x:v>ENTREGUE</x:v>
      </x:c>
      <x:c r="H187" t="str">
        <x:v>Site</x:v>
      </x:c>
      <x:c r="I187" t="str">
        <x:v>Cartão crédito</x:v>
      </x:c>
      <x:c r="J187" s="36" t="n">
        <x:v>46.79</x:v>
      </x:c>
      <x:c r="K187" s="34" t="n">
        <x:v>2</x:v>
      </x:c>
      <x:c r="L187" t="str"/>
      <x:c r="M187" s="34" t="n">
        <x:v>1</x:v>
      </x:c>
      <x:c r="N187" s="34" t="n">
        <x:v>1</x:v>
      </x:c>
      <x:c r="O187" s="36" t="n">
        <x:v>169.9</x:v>
      </x:c>
      <x:c r="P187" s="36" t="n">
        <x:v>0</x:v>
      </x:c>
      <x:c r="Q187" s="36" t="n">
        <x:v>169.9</x:v>
      </x:c>
      <x:c r="R187" s="36" t="n">
        <x:v>98</x:v>
      </x:c>
      <x:c r="S187" s="36" t="n">
        <x:v>71.9</x:v>
      </x:c>
      <x:c r="T187" s="36" t="n">
        <x:v>169.9</x:v>
      </x:c>
      <x:c r="U187" s="38" t="n">
        <x:v>0.4232</x:v>
      </x:c>
    </x:row>
    <x:row r="188">
      <x:c r="A188" s="34" t="n">
        <x:v>187</x:v>
      </x:c>
      <x:c r="B188" s="34" t="n">
        <x:v>32</x:v>
      </x:c>
      <x:c r="C188" t="str">
        <x:v>Caio Gomes</x:v>
      </x:c>
      <x:c r="D188" s="32" t="n">
        <x:v>46178</x:v>
      </x:c>
      <x:c r="E188" t="str">
        <x:v>2026-06</x:v>
      </x:c>
      <x:c r="F188" s="34" t="n">
        <x:v>1</x:v>
      </x:c>
      <x:c r="G188" t="str">
        <x:v>PENDENTE</x:v>
      </x:c>
      <x:c r="H188" t="str">
        <x:v>Site</x:v>
      </x:c>
      <x:c r="I188" t="str">
        <x:v>Boleto</x:v>
      </x:c>
      <x:c r="J188" s="36" t="n">
        <x:v>12</x:v>
      </x:c>
      <x:c r="K188" s="34"/>
      <x:c r="L188" t="str"/>
      <x:c r="M188" s="34" t="n">
        <x:v>8</x:v>
      </x:c>
      <x:c r="N188" s="34" t="n">
        <x:v>4</x:v>
      </x:c>
      <x:c r="O188" s="36" t="n">
        <x:v>1339.2</x:v>
      </x:c>
      <x:c r="P188" s="36" t="n">
        <x:v>31.17</x:v>
      </x:c>
      <x:c r="Q188" s="36" t="n">
        <x:v>1308.03</x:v>
      </x:c>
      <x:c r="R188" s="36" t="n">
        <x:v>870</x:v>
      </x:c>
      <x:c r="S188" s="36" t="n">
        <x:v>438.03</x:v>
      </x:c>
      <x:c r="T188" s="36" t="n">
        <x:v>1308.03</x:v>
      </x:c>
      <x:c r="U188" s="38" t="n">
        <x:v>0.3349</x:v>
      </x:c>
    </x:row>
    <x:row r="189">
      <x:c r="A189" s="34" t="n">
        <x:v>188</x:v>
      </x:c>
      <x:c r="B189" s="34" t="n">
        <x:v>52</x:v>
      </x:c>
      <x:c r="C189" t="str">
        <x:v>Henrique Gomes</x:v>
      </x:c>
      <x:c r="D189" s="32" t="n">
        <x:v>46093</x:v>
      </x:c>
      <x:c r="E189" t="str">
        <x:v>2026-03</x:v>
      </x:c>
      <x:c r="F189" s="34" t="n">
        <x:v>4</x:v>
      </x:c>
      <x:c r="G189" t="str">
        <x:v>ENTREGUE</x:v>
      </x:c>
      <x:c r="H189" t="str">
        <x:v>Site</x:v>
      </x:c>
      <x:c r="I189" t="str">
        <x:v>Cartão crédito</x:v>
      </x:c>
      <x:c r="J189" s="36" t="n">
        <x:v>27.08</x:v>
      </x:c>
      <x:c r="K189" s="34" t="n">
        <x:v>5</x:v>
      </x:c>
      <x:c r="L189" t="str"/>
      <x:c r="M189" s="34" t="n">
        <x:v>3</x:v>
      </x:c>
      <x:c r="N189" s="34" t="n">
        <x:v>2</x:v>
      </x:c>
      <x:c r="O189" s="36" t="n">
        <x:v>299.7</x:v>
      </x:c>
      <x:c r="P189" s="36" t="n">
        <x:v>0</x:v>
      </x:c>
      <x:c r="Q189" s="36" t="n">
        <x:v>299.7</x:v>
      </x:c>
      <x:c r="R189" s="36" t="n">
        <x:v>143</x:v>
      </x:c>
      <x:c r="S189" s="36" t="n">
        <x:v>156.7</x:v>
      </x:c>
      <x:c r="T189" s="36" t="n">
        <x:v>299.7</x:v>
      </x:c>
      <x:c r="U189" s="38" t="n">
        <x:v>0.5229</x:v>
      </x:c>
    </x:row>
    <x:row r="190">
      <x:c r="A190" s="34" t="n">
        <x:v>189</x:v>
      </x:c>
      <x:c r="B190" s="34" t="n">
        <x:v>4</x:v>
      </x:c>
      <x:c r="C190" t="str">
        <x:v>Letícia Santos</x:v>
      </x:c>
      <x:c r="D190" s="32" t="n">
        <x:v>46135</x:v>
      </x:c>
      <x:c r="E190" t="str">
        <x:v>2026-04</x:v>
      </x:c>
      <x:c r="F190" s="34" t="n">
        <x:v>2</x:v>
      </x:c>
      <x:c r="G190" t="str">
        <x:v>EM PROCESSAMENTO</x:v>
      </x:c>
      <x:c r="H190" t="str">
        <x:v>Site</x:v>
      </x:c>
      <x:c r="I190" t="str">
        <x:v>Pix</x:v>
      </x:c>
      <x:c r="J190" s="36" t="n">
        <x:v>57.96</x:v>
      </x:c>
      <x:c r="K190" s="34"/>
      <x:c r="L190" t="str"/>
      <x:c r="M190" s="34" t="n">
        <x:v>3</x:v>
      </x:c>
      <x:c r="N190" s="34" t="n">
        <x:v>3</x:v>
      </x:c>
      <x:c r="O190" s="36" t="n">
        <x:v>559.7</x:v>
      </x:c>
      <x:c r="P190" s="36" t="n">
        <x:v>31.09</x:v>
      </x:c>
      <x:c r="Q190" s="36" t="n">
        <x:v>528.61</x:v>
      </x:c>
      <x:c r="R190" s="36" t="n">
        <x:v>340</x:v>
      </x:c>
      <x:c r="S190" s="36" t="n">
        <x:v>188.61</x:v>
      </x:c>
      <x:c r="T190" s="36" t="n">
        <x:v>528.61</x:v>
      </x:c>
      <x:c r="U190" s="38" t="n">
        <x:v>0.3568</x:v>
      </x:c>
    </x:row>
    <x:row r="191">
      <x:c r="A191" s="34" t="n">
        <x:v>190</x:v>
      </x:c>
      <x:c r="B191" s="34" t="n">
        <x:v>30</x:v>
      </x:c>
      <x:c r="C191" t="str">
        <x:v>Renan Souza</x:v>
      </x:c>
      <x:c r="D191" s="32" t="n">
        <x:v>46174</x:v>
      </x:c>
      <x:c r="E191" t="str">
        <x:v>2026-06</x:v>
      </x:c>
      <x:c r="F191" s="34" t="n">
        <x:v>4</x:v>
      </x:c>
      <x:c r="G191" t="str">
        <x:v>ENTREGUE</x:v>
      </x:c>
      <x:c r="H191" t="str">
        <x:v>Site</x:v>
      </x:c>
      <x:c r="I191" t="str">
        <x:v>Pix</x:v>
      </x:c>
      <x:c r="J191" s="36" t="n">
        <x:v>13.05</x:v>
      </x:c>
      <x:c r="K191" s="34" t="n">
        <x:v>10</x:v>
      </x:c>
      <x:c r="L191" t="str"/>
      <x:c r="M191" s="34" t="n">
        <x:v>1</x:v>
      </x:c>
      <x:c r="N191" s="34" t="n">
        <x:v>1</x:v>
      </x:c>
      <x:c r="O191" s="36" t="n">
        <x:v>189.9</x:v>
      </x:c>
      <x:c r="P191" s="36" t="n">
        <x:v>0</x:v>
      </x:c>
      <x:c r="Q191" s="36" t="n">
        <x:v>189.9</x:v>
      </x:c>
      <x:c r="R191" s="36" t="n">
        <x:v>103</x:v>
      </x:c>
      <x:c r="S191" s="36" t="n">
        <x:v>86.9</x:v>
      </x:c>
      <x:c r="T191" s="36" t="n">
        <x:v>189.9</x:v>
      </x:c>
      <x:c r="U191" s="38" t="n">
        <x:v>0.4576</x:v>
      </x:c>
    </x:row>
    <x:row r="192">
      <x:c r="A192" s="34" t="n">
        <x:v>191</x:v>
      </x:c>
      <x:c r="B192" s="34" t="n">
        <x:v>50</x:v>
      </x:c>
      <x:c r="C192" t="str">
        <x:v>Rodrigo Lima</x:v>
      </x:c>
      <x:c r="D192" s="32" t="n">
        <x:v>46094</x:v>
      </x:c>
      <x:c r="E192" t="str">
        <x:v>2026-03</x:v>
      </x:c>
      <x:c r="F192" s="34" t="n">
        <x:v>3</x:v>
      </x:c>
      <x:c r="G192" t="str">
        <x:v>ENVIADO</x:v>
      </x:c>
      <x:c r="H192" t="str">
        <x:v>Instagram</x:v>
      </x:c>
      <x:c r="I192" t="str">
        <x:v>Cartão crédito</x:v>
      </x:c>
      <x:c r="J192" s="36" t="n">
        <x:v>47.27</x:v>
      </x:c>
      <x:c r="K192" s="34" t="n">
        <x:v>4</x:v>
      </x:c>
      <x:c r="L192" t="str"/>
      <x:c r="M192" s="34" t="n">
        <x:v>1</x:v>
      </x:c>
      <x:c r="N192" s="34" t="n">
        <x:v>1</x:v>
      </x:c>
      <x:c r="O192" s="36" t="n">
        <x:v>679.9</x:v>
      </x:c>
      <x:c r="P192" s="36" t="n">
        <x:v>67.99</x:v>
      </x:c>
      <x:c r="Q192" s="36" t="n">
        <x:v>611.91</x:v>
      </x:c>
      <x:c r="R192" s="36" t="n">
        <x:v>495</x:v>
      </x:c>
      <x:c r="S192" s="36" t="n">
        <x:v>116.91</x:v>
      </x:c>
      <x:c r="T192" s="36" t="n">
        <x:v>611.91</x:v>
      </x:c>
      <x:c r="U192" s="38" t="n">
        <x:v>0.1911</x:v>
      </x:c>
    </x:row>
    <x:row r="193">
      <x:c r="A193" s="34" t="n">
        <x:v>192</x:v>
      </x:c>
      <x:c r="B193" s="34" t="n">
        <x:v>3</x:v>
      </x:c>
      <x:c r="C193" t="str">
        <x:v>Matheus Almeida</x:v>
      </x:c>
      <x:c r="D193" s="32" t="n">
        <x:v>46176</x:v>
      </x:c>
      <x:c r="E193" t="str">
        <x:v>2026-06</x:v>
      </x:c>
      <x:c r="F193" s="34" t="n">
        <x:v>3</x:v>
      </x:c>
      <x:c r="G193" t="str">
        <x:v>ENVIADO</x:v>
      </x:c>
      <x:c r="H193" t="str">
        <x:v>WhatsApp</x:v>
      </x:c>
      <x:c r="I193" t="str">
        <x:v>Cartão crédito</x:v>
      </x:c>
      <x:c r="J193" s="36" t="n">
        <x:v>33.17</x:v>
      </x:c>
      <x:c r="K193" s="34" t="n">
        <x:v>3</x:v>
      </x:c>
      <x:c r="L193" t="str"/>
      <x:c r="M193" s="34" t="n">
        <x:v>2</x:v>
      </x:c>
      <x:c r="N193" s="34" t="n">
        <x:v>2</x:v>
      </x:c>
      <x:c r="O193" s="36" t="n">
        <x:v>239.8</x:v>
      </x:c>
      <x:c r="P193" s="36" t="n">
        <x:v>7.99</x:v>
      </x:c>
      <x:c r="Q193" s="36" t="n">
        <x:v>231.81</x:v>
      </x:c>
      <x:c r="R193" s="36" t="n">
        <x:v>115</x:v>
      </x:c>
      <x:c r="S193" s="36" t="n">
        <x:v>116.81</x:v>
      </x:c>
      <x:c r="T193" s="36" t="n">
        <x:v>231.81</x:v>
      </x:c>
      <x:c r="U193" s="38" t="n">
        <x:v>0.5039</x:v>
      </x:c>
    </x:row>
    <x:row r="194">
      <x:c r="A194" s="34" t="n">
        <x:v>193</x:v>
      </x:c>
      <x:c r="B194" s="34" t="n">
        <x:v>20</x:v>
      </x:c>
      <x:c r="C194" t="str">
        <x:v>Henrique Silva</x:v>
      </x:c>
      <x:c r="D194" s="32" t="n">
        <x:v>46066</x:v>
      </x:c>
      <x:c r="E194" t="str">
        <x:v>2026-02</x:v>
      </x:c>
      <x:c r="F194" s="34" t="n">
        <x:v>4</x:v>
      </x:c>
      <x:c r="G194" t="str">
        <x:v>ENTREGUE</x:v>
      </x:c>
      <x:c r="H194" t="str">
        <x:v>Site</x:v>
      </x:c>
      <x:c r="I194" t="str">
        <x:v>Pix</x:v>
      </x:c>
      <x:c r="J194" s="36" t="n">
        <x:v>29.57</x:v>
      </x:c>
      <x:c r="K194" s="34" t="n">
        <x:v>2</x:v>
      </x:c>
      <x:c r="L194" t="str"/>
      <x:c r="M194" s="34" t="n">
        <x:v>2</x:v>
      </x:c>
      <x:c r="N194" s="34" t="n">
        <x:v>1</x:v>
      </x:c>
      <x:c r="O194" s="36" t="n">
        <x:v>379.8</x:v>
      </x:c>
      <x:c r="P194" s="36" t="n">
        <x:v>45.58</x:v>
      </x:c>
      <x:c r="Q194" s="36" t="n">
        <x:v>334.22</x:v>
      </x:c>
      <x:c r="R194" s="36" t="n">
        <x:v>206</x:v>
      </x:c>
      <x:c r="S194" s="36" t="n">
        <x:v>128.22</x:v>
      </x:c>
      <x:c r="T194" s="36" t="n">
        <x:v>334.22</x:v>
      </x:c>
      <x:c r="U194" s="38" t="n">
        <x:v>0.3836</x:v>
      </x:c>
    </x:row>
    <x:row r="195">
      <x:c r="A195" s="34" t="n">
        <x:v>194</x:v>
      </x:c>
      <x:c r="B195" s="34" t="n">
        <x:v>58</x:v>
      </x:c>
      <x:c r="C195" t="str">
        <x:v>João Souza</x:v>
      </x:c>
      <x:c r="D195" s="32" t="n">
        <x:v>46178</x:v>
      </x:c>
      <x:c r="E195" t="str">
        <x:v>2026-06</x:v>
      </x:c>
      <x:c r="F195" s="34" t="n">
        <x:v>3</x:v>
      </x:c>
      <x:c r="G195" t="str">
        <x:v>ENVIADO</x:v>
      </x:c>
      <x:c r="H195" t="str">
        <x:v>Site</x:v>
      </x:c>
      <x:c r="I195" t="str">
        <x:v>Pix</x:v>
      </x:c>
      <x:c r="J195" s="36" t="n">
        <x:v>38.05</x:v>
      </x:c>
      <x:c r="K195" s="34" t="n">
        <x:v>8</x:v>
      </x:c>
      <x:c r="L195" t="str"/>
      <x:c r="M195" s="34" t="n">
        <x:v>2</x:v>
      </x:c>
      <x:c r="N195" s="34" t="n">
        <x:v>2</x:v>
      </x:c>
      <x:c r="O195" s="36" t="n">
        <x:v>259.8</x:v>
      </x:c>
      <x:c r="P195" s="36" t="n">
        <x:v>10.99</x:v>
      </x:c>
      <x:c r="Q195" s="36" t="n">
        <x:v>248.81</x:v>
      </x:c>
      <x:c r="R195" s="36" t="n">
        <x:v>130</x:v>
      </x:c>
      <x:c r="S195" s="36" t="n">
        <x:v>118.81</x:v>
      </x:c>
      <x:c r="T195" s="36" t="n">
        <x:v>248.81</x:v>
      </x:c>
      <x:c r="U195" s="38" t="n">
        <x:v>0.4775</x:v>
      </x:c>
    </x:row>
    <x:row r="196">
      <x:c r="A196" s="34" t="n">
        <x:v>195</x:v>
      </x:c>
      <x:c r="B196" s="34" t="n">
        <x:v>25</x:v>
      </x:c>
      <x:c r="C196" t="str">
        <x:v>Renan Carvalho</x:v>
      </x:c>
      <x:c r="D196" s="32" t="n">
        <x:v>46161</x:v>
      </x:c>
      <x:c r="E196" t="str">
        <x:v>2026-05</x:v>
      </x:c>
      <x:c r="F196" s="34" t="n">
        <x:v>4</x:v>
      </x:c>
      <x:c r="G196" t="str">
        <x:v>ENTREGUE</x:v>
      </x:c>
      <x:c r="H196" t="str">
        <x:v>Site</x:v>
      </x:c>
      <x:c r="I196" t="str">
        <x:v>Cartão crédito</x:v>
      </x:c>
      <x:c r="J196" s="36" t="n">
        <x:v>27.01</x:v>
      </x:c>
      <x:c r="K196" s="34" t="n">
        <x:v>3</x:v>
      </x:c>
      <x:c r="L196" t="str"/>
      <x:c r="M196" s="34" t="n">
        <x:v>4</x:v>
      </x:c>
      <x:c r="N196" s="34" t="n">
        <x:v>3</x:v>
      </x:c>
      <x:c r="O196" s="36" t="n">
        <x:v>389.6</x:v>
      </x:c>
      <x:c r="P196" s="36" t="n">
        <x:v>13</x:v>
      </x:c>
      <x:c r="Q196" s="36" t="n">
        <x:v>376.6</x:v>
      </x:c>
      <x:c r="R196" s="36" t="n">
        <x:v>217</x:v>
      </x:c>
      <x:c r="S196" s="36" t="n">
        <x:v>159.6</x:v>
      </x:c>
      <x:c r="T196" s="36" t="n">
        <x:v>376.6</x:v>
      </x:c>
      <x:c r="U196" s="38" t="n">
        <x:v>0.4238</x:v>
      </x:c>
    </x:row>
    <x:row r="197">
      <x:c r="A197" s="34" t="n">
        <x:v>196</x:v>
      </x:c>
      <x:c r="B197" s="34" t="n">
        <x:v>43</x:v>
      </x:c>
      <x:c r="C197" t="str">
        <x:v>Caio Souza</x:v>
      </x:c>
      <x:c r="D197" s="32" t="n">
        <x:v>46175</x:v>
      </x:c>
      <x:c r="E197" t="str">
        <x:v>2026-06</x:v>
      </x:c>
      <x:c r="F197" s="34" t="n">
        <x:v>4</x:v>
      </x:c>
      <x:c r="G197" t="str">
        <x:v>ENTREGUE</x:v>
      </x:c>
      <x:c r="H197" t="str">
        <x:v>WhatsApp</x:v>
      </x:c>
      <x:c r="I197" t="str">
        <x:v>Cartão crédito</x:v>
      </x:c>
      <x:c r="J197" s="36" t="n">
        <x:v>24.17</x:v>
      </x:c>
      <x:c r="K197" s="34" t="n">
        <x:v>3</x:v>
      </x:c>
      <x:c r="L197" t="str"/>
      <x:c r="M197" s="34" t="n">
        <x:v>3</x:v>
      </x:c>
      <x:c r="N197" s="34" t="n">
        <x:v>2</x:v>
      </x:c>
      <x:c r="O197" s="36" t="n">
        <x:v>2079.7</x:v>
      </x:c>
      <x:c r="P197" s="36" t="n">
        <x:v>157.38</x:v>
      </x:c>
      <x:c r="Q197" s="36" t="n">
        <x:v>1922.32</x:v>
      </x:c>
      <x:c r="R197" s="36" t="n">
        <x:v>1577</x:v>
      </x:c>
      <x:c r="S197" s="36" t="n">
        <x:v>345.32</x:v>
      </x:c>
      <x:c r="T197" s="36" t="n">
        <x:v>1922.32</x:v>
      </x:c>
      <x:c r="U197" s="38" t="n">
        <x:v>0.1796</x:v>
      </x:c>
    </x:row>
    <x:row r="198">
      <x:c r="A198" s="34" t="n">
        <x:v>197</x:v>
      </x:c>
      <x:c r="B198" s="34" t="n">
        <x:v>23</x:v>
      </x:c>
      <x:c r="C198" t="str">
        <x:v>Matheus Silva</x:v>
      </x:c>
      <x:c r="D198" s="32" t="n">
        <x:v>46176</x:v>
      </x:c>
      <x:c r="E198" t="str">
        <x:v>2026-06</x:v>
      </x:c>
      <x:c r="F198" s="34" t="n">
        <x:v>5</x:v>
      </x:c>
      <x:c r="G198" t="str">
        <x:v>CANCELADO</x:v>
      </x:c>
      <x:c r="H198" t="str">
        <x:v>Marketplace</x:v>
      </x:c>
      <x:c r="I198" t="str">
        <x:v>Pix</x:v>
      </x:c>
      <x:c r="J198" s="36" t="n">
        <x:v>31.53</x:v>
      </x:c>
      <x:c r="K198" s="34"/>
      <x:c r="L198" t="str">
        <x:v>Falha na aprovação do pedido</x:v>
      </x:c>
      <x:c r="M198" s="34" t="n">
        <x:v>2</x:v>
      </x:c>
      <x:c r="N198" s="34" t="n">
        <x:v>2</x:v>
      </x:c>
      <x:c r="O198" s="36" t="n">
        <x:v>89.8</x:v>
      </x:c>
      <x:c r="P198" s="36" t="n">
        <x:v>6.19</x:v>
      </x:c>
      <x:c r="Q198" s="36" t="n">
        <x:v>0</x:v>
      </x:c>
      <x:c r="R198" s="36" t="n">
        <x:v>0</x:v>
      </x:c>
      <x:c r="S198" s="36" t="n">
        <x:v>0</x:v>
      </x:c>
      <x:c r="T198" s="36" t="n">
        <x:v>0</x:v>
      </x:c>
      <x:c r="U198" s="38" t="n">
        <x:v>0</x:v>
      </x:c>
    </x:row>
    <x:row r="199">
      <x:c r="A199" s="34" t="n">
        <x:v>198</x:v>
      </x:c>
      <x:c r="B199" s="34" t="n">
        <x:v>5</x:v>
      </x:c>
      <x:c r="C199" t="str">
        <x:v>Olívia Gomes</x:v>
      </x:c>
      <x:c r="D199" s="32" t="n">
        <x:v>46112</x:v>
      </x:c>
      <x:c r="E199" t="str">
        <x:v>2026-03</x:v>
      </x:c>
      <x:c r="F199" s="34" t="n">
        <x:v>4</x:v>
      </x:c>
      <x:c r="G199" t="str">
        <x:v>ENTREGUE</x:v>
      </x:c>
      <x:c r="H199" t="str">
        <x:v>Site</x:v>
      </x:c>
      <x:c r="I199" t="str">
        <x:v>Pix</x:v>
      </x:c>
      <x:c r="J199" s="36" t="n">
        <x:v>32.84</x:v>
      </x:c>
      <x:c r="K199" s="34" t="n">
        <x:v>4</x:v>
      </x:c>
      <x:c r="L199" t="str"/>
      <x:c r="M199" s="34" t="n">
        <x:v>4</x:v>
      </x:c>
      <x:c r="N199" s="34" t="n">
        <x:v>2</x:v>
      </x:c>
      <x:c r="O199" s="36" t="n">
        <x:v>209.6</x:v>
      </x:c>
      <x:c r="P199" s="36" t="n">
        <x:v>0</x:v>
      </x:c>
      <x:c r="Q199" s="36" t="n">
        <x:v>209.6</x:v>
      </x:c>
      <x:c r="R199" s="36" t="n">
        <x:v>99</x:v>
      </x:c>
      <x:c r="S199" s="36" t="n">
        <x:v>110.6</x:v>
      </x:c>
      <x:c r="T199" s="36" t="n">
        <x:v>209.6</x:v>
      </x:c>
      <x:c r="U199" s="38" t="n">
        <x:v>0.5277</x:v>
      </x:c>
    </x:row>
    <x:row r="200">
      <x:c r="A200" s="34" t="n">
        <x:v>199</x:v>
      </x:c>
      <x:c r="B200" s="34" t="n">
        <x:v>7</x:v>
      </x:c>
      <x:c r="C200" t="str">
        <x:v>Thiago Gomes</x:v>
      </x:c>
      <x:c r="D200" s="32" t="n">
        <x:v>46060</x:v>
      </x:c>
      <x:c r="E200" t="str">
        <x:v>2026-02</x:v>
      </x:c>
      <x:c r="F200" s="34" t="n">
        <x:v>4</x:v>
      </x:c>
      <x:c r="G200" t="str">
        <x:v>ENTREGUE</x:v>
      </x:c>
      <x:c r="H200" t="str">
        <x:v>Marketplace</x:v>
      </x:c>
      <x:c r="I200" t="str">
        <x:v>Pix</x:v>
      </x:c>
      <x:c r="J200" s="36" t="n">
        <x:v>33.33</x:v>
      </x:c>
      <x:c r="K200" s="34" t="n">
        <x:v>4</x:v>
      </x:c>
      <x:c r="L200" t="str"/>
      <x:c r="M200" s="34" t="n">
        <x:v>4</x:v>
      </x:c>
      <x:c r="N200" s="34" t="n">
        <x:v>3</x:v>
      </x:c>
      <x:c r="O200" s="36" t="n">
        <x:v>449.6</x:v>
      </x:c>
      <x:c r="P200" s="36" t="n">
        <x:v>15.98</x:v>
      </x:c>
      <x:c r="Q200" s="36" t="n">
        <x:v>433.62</x:v>
      </x:c>
      <x:c r="R200" s="36" t="n">
        <x:v>230</x:v>
      </x:c>
      <x:c r="S200" s="36" t="n">
        <x:v>203.62</x:v>
      </x:c>
      <x:c r="T200" s="36" t="n">
        <x:v>433.62</x:v>
      </x:c>
      <x:c r="U200" s="38" t="n">
        <x:v>0.4696</x:v>
      </x:c>
    </x:row>
    <x:row r="201">
      <x:c r="A201" s="34" t="n">
        <x:v>200</x:v>
      </x:c>
      <x:c r="B201" s="34" t="n">
        <x:v>27</x:v>
      </x:c>
      <x:c r="C201" t="str">
        <x:v>Rodrigo Almeida</x:v>
      </x:c>
      <x:c r="D201" s="32" t="n">
        <x:v>46177</x:v>
      </x:c>
      <x:c r="E201" t="str">
        <x:v>2026-06</x:v>
      </x:c>
      <x:c r="F201" s="34" t="n">
        <x:v>3</x:v>
      </x:c>
      <x:c r="G201" t="str">
        <x:v>ENVIADO</x:v>
      </x:c>
      <x:c r="H201" t="str">
        <x:v>Marketplace</x:v>
      </x:c>
      <x:c r="I201" t="str">
        <x:v>Cartão crédito</x:v>
      </x:c>
      <x:c r="J201" s="36" t="n">
        <x:v>52.99</x:v>
      </x:c>
      <x:c r="K201" s="34" t="n">
        <x:v>4</x:v>
      </x:c>
      <x:c r="L201" t="str"/>
      <x:c r="M201" s="34" t="n">
        <x:v>3</x:v>
      </x:c>
      <x:c r="N201" s="34" t="n">
        <x:v>2</x:v>
      </x:c>
      <x:c r="O201" s="36" t="n">
        <x:v>589.7</x:v>
      </x:c>
      <x:c r="P201" s="36" t="n">
        <x:v>24.98</x:v>
      </x:c>
      <x:c r="Q201" s="36" t="n">
        <x:v>564.72</x:v>
      </x:c>
      <x:c r="R201" s="36" t="n">
        <x:v>338</x:v>
      </x:c>
      <x:c r="S201" s="36" t="n">
        <x:v>226.72</x:v>
      </x:c>
      <x:c r="T201" s="36" t="n">
        <x:v>564.72</x:v>
      </x:c>
      <x:c r="U201" s="38" t="n">
        <x:v>0.4015</x:v>
      </x:c>
    </x:row>
    <x:row r="202">
      <x:c r="A202" s="34" t="n">
        <x:v>201</x:v>
      </x:c>
      <x:c r="B202" s="34" t="n">
        <x:v>2</x:v>
      </x:c>
      <x:c r="C202" t="str">
        <x:v>Beatriz Costa</x:v>
      </x:c>
      <x:c r="D202" s="32" t="n">
        <x:v>46073</x:v>
      </x:c>
      <x:c r="E202" t="str">
        <x:v>2026-02</x:v>
      </x:c>
      <x:c r="F202" s="34" t="n">
        <x:v>4</x:v>
      </x:c>
      <x:c r="G202" t="str">
        <x:v>ENTREGUE</x:v>
      </x:c>
      <x:c r="H202" t="str">
        <x:v>WhatsApp</x:v>
      </x:c>
      <x:c r="I202" t="str">
        <x:v>Pix</x:v>
      </x:c>
      <x:c r="J202" s="36" t="n">
        <x:v>43.36</x:v>
      </x:c>
      <x:c r="K202" s="34" t="n">
        <x:v>7</x:v>
      </x:c>
      <x:c r="L202" t="str"/>
      <x:c r="M202" s="34" t="n">
        <x:v>5</x:v>
      </x:c>
      <x:c r="N202" s="34" t="n">
        <x:v>3</x:v>
      </x:c>
      <x:c r="O202" s="36" t="n">
        <x:v>509.5</x:v>
      </x:c>
      <x:c r="P202" s="36" t="n">
        <x:v>29.77</x:v>
      </x:c>
      <x:c r="Q202" s="36" t="n">
        <x:v>479.73</x:v>
      </x:c>
      <x:c r="R202" s="36" t="n">
        <x:v>239</x:v>
      </x:c>
      <x:c r="S202" s="36" t="n">
        <x:v>240.73</x:v>
      </x:c>
      <x:c r="T202" s="36" t="n">
        <x:v>479.73</x:v>
      </x:c>
      <x:c r="U202" s="38" t="n">
        <x:v>0.5018</x:v>
      </x:c>
    </x:row>
    <x:row r="203">
      <x:c r="A203" s="34" t="n">
        <x:v>202</x:v>
      </x:c>
      <x:c r="B203" s="34" t="n">
        <x:v>34</x:v>
      </x:c>
      <x:c r="C203" t="str">
        <x:v>Vitor Martins</x:v>
      </x:c>
      <x:c r="D203" s="32" t="n">
        <x:v>46108</x:v>
      </x:c>
      <x:c r="E203" t="str">
        <x:v>2026-03</x:v>
      </x:c>
      <x:c r="F203" s="34" t="n">
        <x:v>4</x:v>
      </x:c>
      <x:c r="G203" t="str">
        <x:v>ENTREGUE</x:v>
      </x:c>
      <x:c r="H203" t="str">
        <x:v>Site</x:v>
      </x:c>
      <x:c r="I203" t="str">
        <x:v>Cartão débito</x:v>
      </x:c>
      <x:c r="J203" s="36" t="n">
        <x:v>39.35</x:v>
      </x:c>
      <x:c r="K203" s="34" t="n">
        <x:v>4</x:v>
      </x:c>
      <x:c r="L203" t="str"/>
      <x:c r="M203" s="34" t="n">
        <x:v>2</x:v>
      </x:c>
      <x:c r="N203" s="34" t="n">
        <x:v>2</x:v>
      </x:c>
      <x:c r="O203" s="36" t="n">
        <x:v>1039.8</x:v>
      </x:c>
      <x:c r="P203" s="36" t="n">
        <x:v>116.69</x:v>
      </x:c>
      <x:c r="Q203" s="36" t="n">
        <x:v>923.11</x:v>
      </x:c>
      <x:c r="R203" s="36" t="n">
        <x:v>783</x:v>
      </x:c>
      <x:c r="S203" s="36" t="n">
        <x:v>140.11</x:v>
      </x:c>
      <x:c r="T203" s="36" t="n">
        <x:v>923.11</x:v>
      </x:c>
      <x:c r="U203" s="38" t="n">
        <x:v>0.1518</x:v>
      </x:c>
    </x:row>
    <x:row r="204">
      <x:c r="A204" s="34" t="n">
        <x:v>203</x:v>
      </x:c>
      <x:c r="B204" s="34" t="n">
        <x:v>55</x:v>
      </x:c>
      <x:c r="C204" t="str">
        <x:v>Henrique Araujo</x:v>
      </x:c>
      <x:c r="D204" s="32" t="n">
        <x:v>46097</x:v>
      </x:c>
      <x:c r="E204" t="str">
        <x:v>2026-03</x:v>
      </x:c>
      <x:c r="F204" s="34" t="n">
        <x:v>3</x:v>
      </x:c>
      <x:c r="G204" t="str">
        <x:v>ENVIADO</x:v>
      </x:c>
      <x:c r="H204" t="str">
        <x:v>Instagram</x:v>
      </x:c>
      <x:c r="I204" t="str">
        <x:v>Pix</x:v>
      </x:c>
      <x:c r="J204" s="36" t="n">
        <x:v>20.53</x:v>
      </x:c>
      <x:c r="K204" s="34" t="n">
        <x:v>2</x:v>
      </x:c>
      <x:c r="L204" t="str"/>
      <x:c r="M204" s="34" t="n">
        <x:v>1</x:v>
      </x:c>
      <x:c r="N204" s="34" t="n">
        <x:v>1</x:v>
      </x:c>
      <x:c r="O204" s="36" t="n">
        <x:v>169.9</x:v>
      </x:c>
      <x:c r="P204" s="36" t="n">
        <x:v>5.1</x:v>
      </x:c>
      <x:c r="Q204" s="36" t="n">
        <x:v>164.8</x:v>
      </x:c>
      <x:c r="R204" s="36" t="n">
        <x:v>98</x:v>
      </x:c>
      <x:c r="S204" s="36" t="n">
        <x:v>66.8</x:v>
      </x:c>
      <x:c r="T204" s="36" t="n">
        <x:v>164.8</x:v>
      </x:c>
      <x:c r="U204" s="38" t="n">
        <x:v>0.4053</x:v>
      </x:c>
    </x:row>
    <x:row r="205">
      <x:c r="A205" s="34" t="n">
        <x:v>204</x:v>
      </x:c>
      <x:c r="B205" s="34" t="n">
        <x:v>53</x:v>
      </x:c>
      <x:c r="C205" t="str">
        <x:v>Carla Almeida</x:v>
      </x:c>
      <x:c r="D205" s="32" t="n">
        <x:v>46175</x:v>
      </x:c>
      <x:c r="E205" t="str">
        <x:v>2026-06</x:v>
      </x:c>
      <x:c r="F205" s="34" t="n">
        <x:v>3</x:v>
      </x:c>
      <x:c r="G205" t="str">
        <x:v>ENVIADO</x:v>
      </x:c>
      <x:c r="H205" t="str">
        <x:v>WhatsApp</x:v>
      </x:c>
      <x:c r="I205" t="str">
        <x:v>Pix</x:v>
      </x:c>
      <x:c r="J205" s="36" t="n">
        <x:v>42.52</x:v>
      </x:c>
      <x:c r="K205" s="34" t="n">
        <x:v>4</x:v>
      </x:c>
      <x:c r="L205" t="str"/>
      <x:c r="M205" s="34" t="n">
        <x:v>2</x:v>
      </x:c>
      <x:c r="N205" s="34" t="n">
        <x:v>1</x:v>
      </x:c>
      <x:c r="O205" s="36" t="n">
        <x:v>299.8</x:v>
      </x:c>
      <x:c r="P205" s="36" t="n">
        <x:v>14.98</x:v>
      </x:c>
      <x:c r="Q205" s="36" t="n">
        <x:v>284.82</x:v>
      </x:c>
      <x:c r="R205" s="36" t="n">
        <x:v>146</x:v>
      </x:c>
      <x:c r="S205" s="36" t="n">
        <x:v>138.82</x:v>
      </x:c>
      <x:c r="T205" s="36" t="n">
        <x:v>284.82</x:v>
      </x:c>
      <x:c r="U205" s="38" t="n">
        <x:v>0.4874</x:v>
      </x:c>
    </x:row>
    <x:row r="206">
      <x:c r="A206" s="34" t="n">
        <x:v>205</x:v>
      </x:c>
      <x:c r="B206" s="34" t="n">
        <x:v>27</x:v>
      </x:c>
      <x:c r="C206" t="str">
        <x:v>Rodrigo Almeida</x:v>
      </x:c>
      <x:c r="D206" s="32" t="n">
        <x:v>46112</x:v>
      </x:c>
      <x:c r="E206" t="str">
        <x:v>2026-03</x:v>
      </x:c>
      <x:c r="F206" s="34" t="n">
        <x:v>2</x:v>
      </x:c>
      <x:c r="G206" t="str">
        <x:v>EM PROCESSAMENTO</x:v>
      </x:c>
      <x:c r="H206" t="str">
        <x:v>Instagram</x:v>
      </x:c>
      <x:c r="I206" t="str">
        <x:v>Boleto</x:v>
      </x:c>
      <x:c r="J206" s="36" t="n">
        <x:v>20.91</x:v>
      </x:c>
      <x:c r="K206" s="34"/>
      <x:c r="L206" t="str"/>
      <x:c r="M206" s="34" t="n">
        <x:v>1</x:v>
      </x:c>
      <x:c r="N206" s="34" t="n">
        <x:v>1</x:v>
      </x:c>
      <x:c r="O206" s="36" t="n">
        <x:v>259.9</x:v>
      </x:c>
      <x:c r="P206" s="36" t="n">
        <x:v>20.79</x:v>
      </x:c>
      <x:c r="Q206" s="36" t="n">
        <x:v>239.11</x:v>
      </x:c>
      <x:c r="R206" s="36" t="n">
        <x:v>158</x:v>
      </x:c>
      <x:c r="S206" s="36" t="n">
        <x:v>81.11</x:v>
      </x:c>
      <x:c r="T206" s="36" t="n">
        <x:v>239.11</x:v>
      </x:c>
      <x:c r="U206" s="38" t="n">
        <x:v>0.3392</x:v>
      </x:c>
    </x:row>
    <x:row r="207">
      <x:c r="A207" s="34" t="n">
        <x:v>206</x:v>
      </x:c>
      <x:c r="B207" s="34" t="n">
        <x:v>42</x:v>
      </x:c>
      <x:c r="C207" t="str">
        <x:v>Diego Rodrigues</x:v>
      </x:c>
      <x:c r="D207" s="32" t="n">
        <x:v>46142</x:v>
      </x:c>
      <x:c r="E207" t="str">
        <x:v>2026-04</x:v>
      </x:c>
      <x:c r="F207" s="34" t="n">
        <x:v>4</x:v>
      </x:c>
      <x:c r="G207" t="str">
        <x:v>ENTREGUE</x:v>
      </x:c>
      <x:c r="H207" t="str">
        <x:v>WhatsApp</x:v>
      </x:c>
      <x:c r="I207" t="str">
        <x:v>Cartão crédito</x:v>
      </x:c>
      <x:c r="J207" s="36" t="n">
        <x:v>15.2</x:v>
      </x:c>
      <x:c r="K207" s="34" t="n">
        <x:v>3</x:v>
      </x:c>
      <x:c r="L207" t="str"/>
      <x:c r="M207" s="34" t="n">
        <x:v>2</x:v>
      </x:c>
      <x:c r="N207" s="34" t="n">
        <x:v>2</x:v>
      </x:c>
      <x:c r="O207" s="36" t="n">
        <x:v>169.8</x:v>
      </x:c>
      <x:c r="P207" s="36" t="n">
        <x:v>8.49</x:v>
      </x:c>
      <x:c r="Q207" s="36" t="n">
        <x:v>161.31</x:v>
      </x:c>
      <x:c r="R207" s="36" t="n">
        <x:v>79</x:v>
      </x:c>
      <x:c r="S207" s="36" t="n">
        <x:v>82.31</x:v>
      </x:c>
      <x:c r="T207" s="36" t="n">
        <x:v>161.31</x:v>
      </x:c>
      <x:c r="U207" s="38" t="n">
        <x:v>0.5103</x:v>
      </x:c>
    </x:row>
    <x:row r="208">
      <x:c r="A208" s="34" t="n">
        <x:v>207</x:v>
      </x:c>
      <x:c r="B208" s="34" t="n">
        <x:v>22</x:v>
      </x:c>
      <x:c r="C208" t="str">
        <x:v>Pedro Martins</x:v>
      </x:c>
      <x:c r="D208" s="32" t="n">
        <x:v>46175</x:v>
      </x:c>
      <x:c r="E208" t="str">
        <x:v>2026-06</x:v>
      </x:c>
      <x:c r="F208" s="34" t="n">
        <x:v>2</x:v>
      </x:c>
      <x:c r="G208" t="str">
        <x:v>EM PROCESSAMENTO</x:v>
      </x:c>
      <x:c r="H208" t="str">
        <x:v>WhatsApp</x:v>
      </x:c>
      <x:c r="I208" t="str">
        <x:v>Cartão débito</x:v>
      </x:c>
      <x:c r="J208" s="36" t="n">
        <x:v>27.67</x:v>
      </x:c>
      <x:c r="K208" s="34"/>
      <x:c r="L208" t="str"/>
      <x:c r="M208" s="34" t="n">
        <x:v>1</x:v>
      </x:c>
      <x:c r="N208" s="34" t="n">
        <x:v>1</x:v>
      </x:c>
      <x:c r="O208" s="36" t="n">
        <x:v>179.9</x:v>
      </x:c>
      <x:c r="P208" s="36" t="n">
        <x:v>14.39</x:v>
      </x:c>
      <x:c r="Q208" s="36" t="n">
        <x:v>165.51</x:v>
      </x:c>
      <x:c r="R208" s="36" t="n">
        <x:v>107</x:v>
      </x:c>
      <x:c r="S208" s="36" t="n">
        <x:v>58.51</x:v>
      </x:c>
      <x:c r="T208" s="36" t="n">
        <x:v>165.51</x:v>
      </x:c>
      <x:c r="U208" s="38" t="n">
        <x:v>0.3535</x:v>
      </x:c>
    </x:row>
    <x:row r="209">
      <x:c r="A209" s="34" t="n">
        <x:v>208</x:v>
      </x:c>
      <x:c r="B209" s="34" t="n">
        <x:v>27</x:v>
      </x:c>
      <x:c r="C209" t="str">
        <x:v>Rodrigo Almeida</x:v>
      </x:c>
      <x:c r="D209" s="32" t="n">
        <x:v>46134</x:v>
      </x:c>
      <x:c r="E209" t="str">
        <x:v>2026-04</x:v>
      </x:c>
      <x:c r="F209" s="34" t="n">
        <x:v>4</x:v>
      </x:c>
      <x:c r="G209" t="str">
        <x:v>ENTREGUE</x:v>
      </x:c>
      <x:c r="H209" t="str">
        <x:v>Marketplace</x:v>
      </x:c>
      <x:c r="I209" t="str">
        <x:v>Cartão crédito</x:v>
      </x:c>
      <x:c r="J209" s="36" t="n">
        <x:v>36.39</x:v>
      </x:c>
      <x:c r="K209" s="34" t="n">
        <x:v>3</x:v>
      </x:c>
      <x:c r="L209" t="str"/>
      <x:c r="M209" s="34" t="n">
        <x:v>2</x:v>
      </x:c>
      <x:c r="N209" s="34" t="n">
        <x:v>1</x:v>
      </x:c>
      <x:c r="O209" s="36" t="n">
        <x:v>359.8</x:v>
      </x:c>
      <x:c r="P209" s="36" t="n">
        <x:v>0</x:v>
      </x:c>
      <x:c r="Q209" s="36" t="n">
        <x:v>359.8</x:v>
      </x:c>
      <x:c r="R209" s="36" t="n">
        <x:v>214</x:v>
      </x:c>
      <x:c r="S209" s="36" t="n">
        <x:v>145.8</x:v>
      </x:c>
      <x:c r="T209" s="36" t="n">
        <x:v>359.8</x:v>
      </x:c>
      <x:c r="U209" s="38" t="n">
        <x:v>0.4052</x:v>
      </x:c>
    </x:row>
    <x:row r="210">
      <x:c r="A210" s="34" t="n">
        <x:v>209</x:v>
      </x:c>
      <x:c r="B210" s="34" t="n">
        <x:v>60</x:v>
      </x:c>
      <x:c r="C210" t="str">
        <x:v>Mariana Araujo</x:v>
      </x:c>
      <x:c r="D210" s="32" t="n">
        <x:v>46082</x:v>
      </x:c>
      <x:c r="E210" t="str">
        <x:v>2026-03</x:v>
      </x:c>
      <x:c r="F210" s="34" t="n">
        <x:v>4</x:v>
      </x:c>
      <x:c r="G210" t="str">
        <x:v>ENTREGUE</x:v>
      </x:c>
      <x:c r="H210" t="str">
        <x:v>WhatsApp</x:v>
      </x:c>
      <x:c r="I210" t="str">
        <x:v>Pix</x:v>
      </x:c>
      <x:c r="J210" s="36" t="n">
        <x:v>40.96</x:v>
      </x:c>
      <x:c r="K210" s="34" t="n">
        <x:v>1</x:v>
      </x:c>
      <x:c r="L210" t="str"/>
      <x:c r="M210" s="34" t="n">
        <x:v>3</x:v>
      </x:c>
      <x:c r="N210" s="34" t="n">
        <x:v>2</x:v>
      </x:c>
      <x:c r="O210" s="36" t="n">
        <x:v>669.7</x:v>
      </x:c>
      <x:c r="P210" s="36" t="n">
        <x:v>20.1</x:v>
      </x:c>
      <x:c r="Q210" s="36" t="n">
        <x:v>649.6</x:v>
      </x:c>
      <x:c r="R210" s="36" t="n">
        <x:v>412</x:v>
      </x:c>
      <x:c r="S210" s="36" t="n">
        <x:v>237.6</x:v>
      </x:c>
      <x:c r="T210" s="36" t="n">
        <x:v>649.6</x:v>
      </x:c>
      <x:c r="U210" s="38" t="n">
        <x:v>0.3658</x:v>
      </x:c>
    </x:row>
    <x:row r="211">
      <x:c r="A211" s="34" t="n">
        <x:v>210</x:v>
      </x:c>
      <x:c r="B211" s="34" t="n">
        <x:v>50</x:v>
      </x:c>
      <x:c r="C211" t="str">
        <x:v>Rodrigo Lima</x:v>
      </x:c>
      <x:c r="D211" s="32" t="n">
        <x:v>46154</x:v>
      </x:c>
      <x:c r="E211" t="str">
        <x:v>2026-05</x:v>
      </x:c>
      <x:c r="F211" s="34" t="n">
        <x:v>4</x:v>
      </x:c>
      <x:c r="G211" t="str">
        <x:v>ENTREGUE</x:v>
      </x:c>
      <x:c r="H211" t="str">
        <x:v>Marketplace</x:v>
      </x:c>
      <x:c r="I211" t="str">
        <x:v>Boleto</x:v>
      </x:c>
      <x:c r="J211" s="36" t="n">
        <x:v>31.12</x:v>
      </x:c>
      <x:c r="K211" s="34" t="n">
        <x:v>3</x:v>
      </x:c>
      <x:c r="L211" t="str"/>
      <x:c r="M211" s="34" t="n">
        <x:v>6</x:v>
      </x:c>
      <x:c r="N211" s="34" t="n">
        <x:v>3</x:v>
      </x:c>
      <x:c r="O211" s="36" t="n">
        <x:v>949.4</x:v>
      </x:c>
      <x:c r="P211" s="36" t="n">
        <x:v>48.97</x:v>
      </x:c>
      <x:c r="Q211" s="36" t="n">
        <x:v>900.43</x:v>
      </x:c>
      <x:c r="R211" s="36" t="n">
        <x:v>511</x:v>
      </x:c>
      <x:c r="S211" s="36" t="n">
        <x:v>389.43</x:v>
      </x:c>
      <x:c r="T211" s="36" t="n">
        <x:v>900.43</x:v>
      </x:c>
      <x:c r="U211" s="38" t="n">
        <x:v>0.4325</x:v>
      </x:c>
    </x:row>
    <x:row r="212">
      <x:c r="A212" s="34" t="n">
        <x:v>211</x:v>
      </x:c>
      <x:c r="B212" s="34" t="n">
        <x:v>27</x:v>
      </x:c>
      <x:c r="C212" t="str">
        <x:v>Rodrigo Almeida</x:v>
      </x:c>
      <x:c r="D212" s="32" t="n">
        <x:v>46177</x:v>
      </x:c>
      <x:c r="E212" t="str">
        <x:v>2026-06</x:v>
      </x:c>
      <x:c r="F212" s="34" t="n">
        <x:v>2</x:v>
      </x:c>
      <x:c r="G212" t="str">
        <x:v>EM PROCESSAMENTO</x:v>
      </x:c>
      <x:c r="H212" t="str">
        <x:v>Site</x:v>
      </x:c>
      <x:c r="I212" t="str">
        <x:v>Cartão crédito</x:v>
      </x:c>
      <x:c r="J212" s="36" t="n">
        <x:v>31.67</x:v>
      </x:c>
      <x:c r="K212" s="34"/>
      <x:c r="L212" t="str"/>
      <x:c r="M212" s="34" t="n">
        <x:v>2</x:v>
      </x:c>
      <x:c r="N212" s="34" t="n">
        <x:v>2</x:v>
      </x:c>
      <x:c r="O212" s="36" t="n">
        <x:v>249.8</x:v>
      </x:c>
      <x:c r="P212" s="36" t="n">
        <x:v>8.49</x:v>
      </x:c>
      <x:c r="Q212" s="36" t="n">
        <x:v>241.31</x:v>
      </x:c>
      <x:c r="R212" s="36" t="n">
        <x:v>135</x:v>
      </x:c>
      <x:c r="S212" s="36" t="n">
        <x:v>106.31</x:v>
      </x:c>
      <x:c r="T212" s="36" t="n">
        <x:v>241.31</x:v>
      </x:c>
      <x:c r="U212" s="38" t="n">
        <x:v>0.4406</x:v>
      </x:c>
    </x:row>
    <x:row r="213">
      <x:c r="A213" s="34" t="n">
        <x:v>212</x:v>
      </x:c>
      <x:c r="B213" s="34" t="n">
        <x:v>59</x:v>
      </x:c>
      <x:c r="C213" t="str">
        <x:v>Letícia Souza</x:v>
      </x:c>
      <x:c r="D213" s="32" t="n">
        <x:v>46122</x:v>
      </x:c>
      <x:c r="E213" t="str">
        <x:v>2026-04</x:v>
      </x:c>
      <x:c r="F213" s="34" t="n">
        <x:v>4</x:v>
      </x:c>
      <x:c r="G213" t="str">
        <x:v>ENTREGUE</x:v>
      </x:c>
      <x:c r="H213" t="str">
        <x:v>Instagram</x:v>
      </x:c>
      <x:c r="I213" t="str">
        <x:v>Pix</x:v>
      </x:c>
      <x:c r="J213" s="36" t="n">
        <x:v>29.17</x:v>
      </x:c>
      <x:c r="K213" s="34" t="n">
        <x:v>5</x:v>
      </x:c>
      <x:c r="L213" t="str"/>
      <x:c r="M213" s="34" t="n">
        <x:v>2</x:v>
      </x:c>
      <x:c r="N213" s="34" t="n">
        <x:v>2</x:v>
      </x:c>
      <x:c r="O213" s="36" t="n">
        <x:v>459.8</x:v>
      </x:c>
      <x:c r="P213" s="36" t="n">
        <x:v>4.2</x:v>
      </x:c>
      <x:c r="Q213" s="36" t="n">
        <x:v>455.6</x:v>
      </x:c>
      <x:c r="R213" s="36" t="n">
        <x:v>267</x:v>
      </x:c>
      <x:c r="S213" s="36" t="n">
        <x:v>188.6</x:v>
      </x:c>
      <x:c r="T213" s="36" t="n">
        <x:v>455.6</x:v>
      </x:c>
      <x:c r="U213" s="38" t="n">
        <x:v>0.414</x:v>
      </x:c>
    </x:row>
    <x:row r="214">
      <x:c r="A214" s="34" t="n">
        <x:v>213</x:v>
      </x:c>
      <x:c r="B214" s="34" t="n">
        <x:v>54</x:v>
      </x:c>
      <x:c r="C214" t="str">
        <x:v>Eduarda Gomes</x:v>
      </x:c>
      <x:c r="D214" s="32" t="n">
        <x:v>46117</x:v>
      </x:c>
      <x:c r="E214" t="str">
        <x:v>2026-04</x:v>
      </x:c>
      <x:c r="F214" s="34" t="n">
        <x:v>4</x:v>
      </x:c>
      <x:c r="G214" t="str">
        <x:v>ENTREGUE</x:v>
      </x:c>
      <x:c r="H214" t="str">
        <x:v>Site</x:v>
      </x:c>
      <x:c r="I214" t="str">
        <x:v>Pix</x:v>
      </x:c>
      <x:c r="J214" s="36" t="n">
        <x:v>36.19</x:v>
      </x:c>
      <x:c r="K214" s="34" t="n">
        <x:v>5</x:v>
      </x:c>
      <x:c r="L214" t="str"/>
      <x:c r="M214" s="34" t="n">
        <x:v>4</x:v>
      </x:c>
      <x:c r="N214" s="34" t="n">
        <x:v>2</x:v>
      </x:c>
      <x:c r="O214" s="36" t="n">
        <x:v>399.6</x:v>
      </x:c>
      <x:c r="P214" s="36" t="n">
        <x:v>19.18</x:v>
      </x:c>
      <x:c r="Q214" s="36" t="n">
        <x:v>380.42</x:v>
      </x:c>
      <x:c r="R214" s="36" t="n">
        <x:v>190</x:v>
      </x:c>
      <x:c r="S214" s="36" t="n">
        <x:v>190.42</x:v>
      </x:c>
      <x:c r="T214" s="36" t="n">
        <x:v>380.42</x:v>
      </x:c>
      <x:c r="U214" s="38" t="n">
        <x:v>0.5006</x:v>
      </x:c>
    </x:row>
    <x:row r="215">
      <x:c r="A215" s="34" t="n">
        <x:v>214</x:v>
      </x:c>
      <x:c r="B215" s="34" t="n">
        <x:v>51</x:v>
      </x:c>
      <x:c r="C215" t="str">
        <x:v>Sofia Martins</x:v>
      </x:c>
      <x:c r="D215" s="32" t="n">
        <x:v>46146</x:v>
      </x:c>
      <x:c r="E215" t="str">
        <x:v>2026-05</x:v>
      </x:c>
      <x:c r="F215" s="34" t="n">
        <x:v>2</x:v>
      </x:c>
      <x:c r="G215" t="str">
        <x:v>EM PROCESSAMENTO</x:v>
      </x:c>
      <x:c r="H215" t="str">
        <x:v>Indicação</x:v>
      </x:c>
      <x:c r="I215" t="str">
        <x:v>Cartão crédito</x:v>
      </x:c>
      <x:c r="J215" s="36" t="n">
        <x:v>52.92</x:v>
      </x:c>
      <x:c r="K215" s="34"/>
      <x:c r="L215" t="str"/>
      <x:c r="M215" s="34" t="n">
        <x:v>2</x:v>
      </x:c>
      <x:c r="N215" s="34" t="n">
        <x:v>1</x:v>
      </x:c>
      <x:c r="O215" s="36" t="n">
        <x:v>199.8</x:v>
      </x:c>
      <x:c r="P215" s="36" t="n">
        <x:v>9.98</x:v>
      </x:c>
      <x:c r="Q215" s="36" t="n">
        <x:v>189.82</x:v>
      </x:c>
      <x:c r="R215" s="36" t="n">
        <x:v>92</x:v>
      </x:c>
      <x:c r="S215" s="36" t="n">
        <x:v>97.82</x:v>
      </x:c>
      <x:c r="T215" s="36" t="n">
        <x:v>189.82</x:v>
      </x:c>
      <x:c r="U215" s="38" t="n">
        <x:v>0.5153</x:v>
      </x:c>
    </x:row>
    <x:row r="216">
      <x:c r="A216" s="34" t="n">
        <x:v>215</x:v>
      </x:c>
      <x:c r="B216" s="34" t="n">
        <x:v>16</x:v>
      </x:c>
      <x:c r="C216" t="str">
        <x:v>Larissa Martins</x:v>
      </x:c>
      <x:c r="D216" s="32" t="n">
        <x:v>46160</x:v>
      </x:c>
      <x:c r="E216" t="str">
        <x:v>2026-05</x:v>
      </x:c>
      <x:c r="F216" s="34" t="n">
        <x:v>4</x:v>
      </x:c>
      <x:c r="G216" t="str">
        <x:v>ENTREGUE</x:v>
      </x:c>
      <x:c r="H216" t="str">
        <x:v>Site</x:v>
      </x:c>
      <x:c r="I216" t="str">
        <x:v>Cartão crédito</x:v>
      </x:c>
      <x:c r="J216" s="36" t="n">
        <x:v>47.71</x:v>
      </x:c>
      <x:c r="K216" s="34" t="n">
        <x:v>1</x:v>
      </x:c>
      <x:c r="L216" t="str"/>
      <x:c r="M216" s="34" t="n">
        <x:v>5</x:v>
      </x:c>
      <x:c r="N216" s="34" t="n">
        <x:v>2</x:v>
      </x:c>
      <x:c r="O216" s="36" t="n">
        <x:v>2649.5</x:v>
      </x:c>
      <x:c r="P216" s="36" t="n">
        <x:v>0</x:v>
      </x:c>
      <x:c r="Q216" s="36" t="n">
        <x:v>2649.5</x:v>
      </x:c>
      <x:c r="R216" s="36" t="n">
        <x:v>1905</x:v>
      </x:c>
      <x:c r="S216" s="36" t="n">
        <x:v>744.5</x:v>
      </x:c>
      <x:c r="T216" s="36" t="n">
        <x:v>2649.5</x:v>
      </x:c>
      <x:c r="U216" s="38" t="n">
        <x:v>0.281</x:v>
      </x:c>
    </x:row>
    <x:row r="217">
      <x:c r="A217" s="34" t="n">
        <x:v>216</x:v>
      </x:c>
      <x:c r="B217" s="34" t="n">
        <x:v>56</x:v>
      </x:c>
      <x:c r="C217" t="str">
        <x:v>Olívia Lima</x:v>
      </x:c>
      <x:c r="D217" s="32" t="n">
        <x:v>46115</x:v>
      </x:c>
      <x:c r="E217" t="str">
        <x:v>2026-04</x:v>
      </x:c>
      <x:c r="F217" s="34" t="n">
        <x:v>4</x:v>
      </x:c>
      <x:c r="G217" t="str">
        <x:v>ENTREGUE</x:v>
      </x:c>
      <x:c r="H217" t="str">
        <x:v>WhatsApp</x:v>
      </x:c>
      <x:c r="I217" t="str">
        <x:v>Pix</x:v>
      </x:c>
      <x:c r="J217" s="36" t="n">
        <x:v>43.46</x:v>
      </x:c>
      <x:c r="K217" s="34" t="n">
        <x:v>5</x:v>
      </x:c>
      <x:c r="L217" t="str"/>
      <x:c r="M217" s="34" t="n">
        <x:v>3</x:v>
      </x:c>
      <x:c r="N217" s="34" t="n">
        <x:v>3</x:v>
      </x:c>
      <x:c r="O217" s="36" t="n">
        <x:v>1069.7</x:v>
      </x:c>
      <x:c r="P217" s="36" t="n">
        <x:v>9.49</x:v>
      </x:c>
      <x:c r="Q217" s="36" t="n">
        <x:v>1060.21</x:v>
      </x:c>
      <x:c r="R217" s="36" t="n">
        <x:v>752</x:v>
      </x:c>
      <x:c r="S217" s="36" t="n">
        <x:v>308.21</x:v>
      </x:c>
      <x:c r="T217" s="36" t="n">
        <x:v>1060.21</x:v>
      </x:c>
      <x:c r="U217" s="38" t="n">
        <x:v>0.2907</x:v>
      </x:c>
    </x:row>
    <x:row r="218">
      <x:c r="A218" s="34" t="n">
        <x:v>217</x:v>
      </x:c>
      <x:c r="B218" s="34" t="n">
        <x:v>36</x:v>
      </x:c>
      <x:c r="C218" t="str">
        <x:v>Yasmin Carvalho</x:v>
      </x:c>
      <x:c r="D218" s="32" t="n">
        <x:v>46127</x:v>
      </x:c>
      <x:c r="E218" t="str">
        <x:v>2026-04</x:v>
      </x:c>
      <x:c r="F218" s="34" t="n">
        <x:v>4</x:v>
      </x:c>
      <x:c r="G218" t="str">
        <x:v>ENTREGUE</x:v>
      </x:c>
      <x:c r="H218" t="str">
        <x:v>Site</x:v>
      </x:c>
      <x:c r="I218" t="str">
        <x:v>Pix</x:v>
      </x:c>
      <x:c r="J218" s="36" t="n">
        <x:v>12</x:v>
      </x:c>
      <x:c r="K218" s="34" t="n">
        <x:v>1</x:v>
      </x:c>
      <x:c r="L218" t="str"/>
      <x:c r="M218" s="34" t="n">
        <x:v>3</x:v>
      </x:c>
      <x:c r="N218" s="34" t="n">
        <x:v>1</x:v>
      </x:c>
      <x:c r="O218" s="36" t="n">
        <x:v>479.7</x:v>
      </x:c>
      <x:c r="P218" s="36" t="n">
        <x:v>14.4</x:v>
      </x:c>
      <x:c r="Q218" s="36" t="n">
        <x:v>465.3</x:v>
      </x:c>
      <x:c r="R218" s="36" t="n">
        <x:v>252</x:v>
      </x:c>
      <x:c r="S218" s="36" t="n">
        <x:v>213.3</x:v>
      </x:c>
      <x:c r="T218" s="36" t="n">
        <x:v>465.3</x:v>
      </x:c>
      <x:c r="U218" s="38" t="n">
        <x:v>0.4584</x:v>
      </x:c>
    </x:row>
    <x:row r="219">
      <x:c r="A219" s="34" t="n">
        <x:v>218</x:v>
      </x:c>
      <x:c r="B219" s="34" t="n">
        <x:v>41</x:v>
      </x:c>
      <x:c r="C219" t="str">
        <x:v>Thiago Costa</x:v>
      </x:c>
      <x:c r="D219" s="32" t="n">
        <x:v>46153</x:v>
      </x:c>
      <x:c r="E219" t="str">
        <x:v>2026-05</x:v>
      </x:c>
      <x:c r="F219" s="34" t="n">
        <x:v>4</x:v>
      </x:c>
      <x:c r="G219" t="str">
        <x:v>ENTREGUE</x:v>
      </x:c>
      <x:c r="H219" t="str">
        <x:v>Instagram</x:v>
      </x:c>
      <x:c r="I219" t="str">
        <x:v>Pix</x:v>
      </x:c>
      <x:c r="J219" s="36" t="n">
        <x:v>38.43</x:v>
      </x:c>
      <x:c r="K219" s="34" t="n">
        <x:v>4</x:v>
      </x:c>
      <x:c r="L219" t="str"/>
      <x:c r="M219" s="34" t="n">
        <x:v>2</x:v>
      </x:c>
      <x:c r="N219" s="34" t="n">
        <x:v>2</x:v>
      </x:c>
      <x:c r="O219" s="36" t="n">
        <x:v>489.8</x:v>
      </x:c>
      <x:c r="P219" s="36" t="n">
        <x:v>14.7</x:v>
      </x:c>
      <x:c r="Q219" s="36" t="n">
        <x:v>475.1</x:v>
      </x:c>
      <x:c r="R219" s="36" t="n">
        <x:v>296</x:v>
      </x:c>
      <x:c r="S219" s="36" t="n">
        <x:v>179.1</x:v>
      </x:c>
      <x:c r="T219" s="36" t="n">
        <x:v>475.1</x:v>
      </x:c>
      <x:c r="U219" s="38" t="n">
        <x:v>0.377</x:v>
      </x:c>
    </x:row>
    <x:row r="220">
      <x:c r="A220" s="34" t="n">
        <x:v>219</x:v>
      </x:c>
      <x:c r="B220" s="34" t="n">
        <x:v>15</x:v>
      </x:c>
      <x:c r="C220" t="str">
        <x:v>Beatriz Araujo</x:v>
      </x:c>
      <x:c r="D220" s="32" t="n">
        <x:v>46163</x:v>
      </x:c>
      <x:c r="E220" t="str">
        <x:v>2026-05</x:v>
      </x:c>
      <x:c r="F220" s="34" t="n">
        <x:v>2</x:v>
      </x:c>
      <x:c r="G220" t="str">
        <x:v>EM PROCESSAMENTO</x:v>
      </x:c>
      <x:c r="H220" t="str">
        <x:v>WhatsApp</x:v>
      </x:c>
      <x:c r="I220" t="str">
        <x:v>Cartão crédito</x:v>
      </x:c>
      <x:c r="J220" s="36" t="n">
        <x:v>40.34</x:v>
      </x:c>
      <x:c r="K220" s="34"/>
      <x:c r="L220" t="str"/>
      <x:c r="M220" s="34" t="n">
        <x:v>4</x:v>
      </x:c>
      <x:c r="N220" s="34" t="n">
        <x:v>3</x:v>
      </x:c>
      <x:c r="O220" s="36" t="n">
        <x:v>429.6</x:v>
      </x:c>
      <x:c r="P220" s="36" t="n">
        <x:v>7.98</x:v>
      </x:c>
      <x:c r="Q220" s="36" t="n">
        <x:v>421.62</x:v>
      </x:c>
      <x:c r="R220" s="36" t="n">
        <x:v>242</x:v>
      </x:c>
      <x:c r="S220" s="36" t="n">
        <x:v>179.62</x:v>
      </x:c>
      <x:c r="T220" s="36" t="n">
        <x:v>421.62</x:v>
      </x:c>
      <x:c r="U220" s="38" t="n">
        <x:v>0.426</x:v>
      </x:c>
    </x:row>
    <x:row r="221">
      <x:c r="A221" s="34" t="n">
        <x:v>220</x:v>
      </x:c>
      <x:c r="B221" s="34" t="n">
        <x:v>3</x:v>
      </x:c>
      <x:c r="C221" t="str">
        <x:v>Matheus Almeida</x:v>
      </x:c>
      <x:c r="D221" s="32" t="n">
        <x:v>46106</x:v>
      </x:c>
      <x:c r="E221" t="str">
        <x:v>2026-03</x:v>
      </x:c>
      <x:c r="F221" s="34" t="n">
        <x:v>3</x:v>
      </x:c>
      <x:c r="G221" t="str">
        <x:v>ENVIADO</x:v>
      </x:c>
      <x:c r="H221" t="str">
        <x:v>WhatsApp</x:v>
      </x:c>
      <x:c r="I221" t="str">
        <x:v>Cartão débito</x:v>
      </x:c>
      <x:c r="J221" s="36" t="n">
        <x:v>26.14</x:v>
      </x:c>
      <x:c r="K221" s="34" t="n">
        <x:v>7</x:v>
      </x:c>
      <x:c r="L221" t="str"/>
      <x:c r="M221" s="34" t="n">
        <x:v>2</x:v>
      </x:c>
      <x:c r="N221" s="34" t="n">
        <x:v>2</x:v>
      </x:c>
      <x:c r="O221" s="36" t="n">
        <x:v>109.8</x:v>
      </x:c>
      <x:c r="P221" s="36" t="n">
        <x:v>2.39</x:v>
      </x:c>
      <x:c r="Q221" s="36" t="n">
        <x:v>107.41</x:v>
      </x:c>
      <x:c r="R221" s="36" t="n">
        <x:v>47</x:v>
      </x:c>
      <x:c r="S221" s="36" t="n">
        <x:v>60.41</x:v>
      </x:c>
      <x:c r="T221" s="36" t="n">
        <x:v>107.41</x:v>
      </x:c>
      <x:c r="U221" s="38" t="n">
        <x:v>0.5624</x:v>
      </x:c>
    </x:row>
  </x:sheetData>
  <x:pageMargins left="0.7" right="0.7" top="0.75" bottom="0.75" header="0.3" footer="0.3"/>
  <x:tableParts count="1">
    <x:tablePart xmlns:r="http://schemas.openxmlformats.org/officeDocument/2006/relationships" r:id="R2b094f8b48214eae"/>
  </x:tableParts>
</x:worksheet>
</file>

<file path=xl/worksheets/sheet6.xml><?xml version="1.0" encoding="utf-8"?>
<x:worksheet xmlns:x="http://schemas.openxmlformats.org/spreadsheetml/2006/main">
  <x:sheetFormatPr defaultRowHeight="15"/>
  <x:cols>
    <x:col min="4" max="4" width="25.979999542236328" hidden="0" customWidth="1"/>
    <x:col min="5" max="5" width="13.1899995803833" hidden="0" customWidth="1"/>
    <x:col min="7" max="7" width="18.709999084472656" hidden="0" customWidth="1"/>
    <x:col min="1" max="1" width="8.880000114440918" hidden="0" customWidth="1"/>
    <x:col min="2" max="2" width="10.899999618530273" hidden="0" customWidth="1"/>
    <x:col min="3" max="3" width="11.84000015258789" hidden="0" customWidth="1"/>
    <x:col min="6" max="6" width="14.130000114440918" hidden="0" customWidth="1"/>
    <x:col min="8" max="8" width="11.979999542236328" hidden="0" customWidth="1"/>
    <x:col min="9" max="9" width="20.31999969482422" hidden="0" customWidth="1"/>
    <x:col min="10" max="10" width="13.59000015258789" hidden="0" customWidth="1"/>
    <x:col min="11" max="11" width="19.25" hidden="0" customWidth="1"/>
    <x:col min="12" max="12" width="16.549999237060547" hidden="0" customWidth="1"/>
  </x:cols>
  <x:sheetData>
    <x:row r="1">
      <x:c r="A1" s="26" t="str">
        <x:v>item_id</x:v>
      </x:c>
      <x:c r="B1" s="26" t="str">
        <x:v>pedido_id</x:v>
      </x:c>
      <x:c r="C1" s="26" t="str">
        <x:v>produto_id</x:v>
      </x:c>
      <x:c r="D1" s="26" t="str">
        <x:v>produto</x:v>
      </x:c>
      <x:c r="E1" s="26" t="str">
        <x:v>categoria</x:v>
      </x:c>
      <x:c r="F1" s="26" t="str">
        <x:v>fornecedor_id</x:v>
      </x:c>
      <x:c r="G1" s="26" t="str">
        <x:v>fornecedor</x:v>
      </x:c>
      <x:c r="H1" s="26" t="str">
        <x:v>quantidade</x:v>
      </x:c>
      <x:c r="I1" s="26" t="str">
        <x:v>valor_unitario_tabela</x:v>
      </x:c>
      <x:c r="J1" s="26" t="str">
        <x:v>desconto_pct</x:v>
      </x:c>
      <x:c r="K1" s="26" t="str">
        <x:v>valor_pago_unitario</x:v>
      </x:c>
      <x:c r="L1" s="26" t="str">
        <x:v>valor_pago_total</x:v>
      </x:c>
    </x:row>
    <x:row r="2">
      <x:c r="A2" s="34" t="n">
        <x:v>1</x:v>
      </x:c>
      <x:c r="B2" s="34" t="n">
        <x:v>1</x:v>
      </x:c>
      <x:c r="C2" s="34" t="n">
        <x:v>5</x:v>
      </x:c>
      <x:c r="D2" t="str">
        <x:v>Mousepad Grande</x:v>
      </x:c>
      <x:c r="E2" t="str">
        <x:v>Acessórios</x:v>
      </x:c>
      <x:c r="F2" s="34" t="n">
        <x:v>3</x:v>
      </x:c>
      <x:c r="G2" t="str">
        <x:v>Prime Eletrônicos</x:v>
      </x:c>
      <x:c r="H2" s="34" t="n">
        <x:v>2</x:v>
      </x:c>
      <x:c r="I2" s="36" t="n">
        <x:v>39.9</x:v>
      </x:c>
      <x:c r="J2" s="38" t="n">
        <x:v>0.05</x:v>
      </x:c>
      <x:c r="K2" s="36" t="n">
        <x:v>37.9</x:v>
      </x:c>
      <x:c r="L2" s="36" t="n">
        <x:v>75.8</x:v>
      </x:c>
    </x:row>
    <x:row r="3">
      <x:c r="A3" s="34" t="n">
        <x:v>2</x:v>
      </x:c>
      <x:c r="B3" s="34" t="n">
        <x:v>2</x:v>
      </x:c>
      <x:c r="C3" s="34" t="n">
        <x:v>10</x:v>
      </x:c>
      <x:c r="D3" t="str">
        <x:v>SSD 480GB SATA</x:v>
      </x:c>
      <x:c r="E3" t="str">
        <x:v>Armazenamento</x:v>
      </x:c>
      <x:c r="F3" s="34" t="n">
        <x:v>2</x:v>
      </x:c>
      <x:c r="G3" t="str">
        <x:v>Mega Componentes</x:v>
      </x:c>
      <x:c r="H3" s="34" t="n">
        <x:v>2</x:v>
      </x:c>
      <x:c r="I3" s="36" t="n">
        <x:v>259.9</x:v>
      </x:c>
      <x:c r="J3" s="38" t="n">
        <x:v>0.03</x:v>
      </x:c>
      <x:c r="K3" s="36" t="n">
        <x:v>252.1</x:v>
      </x:c>
      <x:c r="L3" s="36" t="n">
        <x:v>504.2</x:v>
      </x:c>
    </x:row>
    <x:row r="4">
      <x:c r="A4" s="34" t="n">
        <x:v>3</x:v>
      </x:c>
      <x:c r="B4" s="34" t="n">
        <x:v>2</x:v>
      </x:c>
      <x:c r="C4" s="34" t="n">
        <x:v>2</x:v>
      </x:c>
      <x:c r="D4" t="str">
        <x:v>Teclado Membrana ABNT2</x:v>
      </x:c>
      <x:c r="E4" t="str">
        <x:v>Periféricos</x:v>
      </x:c>
      <x:c r="F4" s="34" t="n">
        <x:v>1</x:v>
      </x:c>
      <x:c r="G4" t="str">
        <x:v>TechDistribuidora Brasil</x:v>
      </x:c>
      <x:c r="H4" s="34" t="n">
        <x:v>1</x:v>
      </x:c>
      <x:c r="I4" s="36" t="n">
        <x:v>89.9</x:v>
      </x:c>
      <x:c r="J4" s="38" t="n">
        <x:v>0.08</x:v>
      </x:c>
      <x:c r="K4" s="36" t="n">
        <x:v>82.71</x:v>
      </x:c>
      <x:c r="L4" s="36" t="n">
        <x:v>82.71</x:v>
      </x:c>
    </x:row>
    <x:row r="5">
      <x:c r="A5" s="34" t="n">
        <x:v>4</x:v>
      </x:c>
      <x:c r="B5" s="34" t="n">
        <x:v>3</x:v>
      </x:c>
      <x:c r="C5" s="34" t="n">
        <x:v>3</x:v>
      </x:c>
      <x:c r="D5" t="str">
        <x:v>Headset Gamer P2</x:v>
      </x:c>
      <x:c r="E5" t="str">
        <x:v>Periféricos</x:v>
      </x:c>
      <x:c r="F5" s="34" t="n">
        <x:v>5</x:v>
      </x:c>
      <x:c r="G5" t="str">
        <x:v>FastHardware</x:v>
      </x:c>
      <x:c r="H5" s="34" t="n">
        <x:v>2</x:v>
      </x:c>
      <x:c r="I5" s="36" t="n">
        <x:v>159.9</x:v>
      </x:c>
      <x:c r="J5" s="38" t="n">
        <x:v>0</x:v>
      </x:c>
      <x:c r="K5" s="36" t="n">
        <x:v>159.9</x:v>
      </x:c>
      <x:c r="L5" s="36" t="n">
        <x:v>319.8</x:v>
      </x:c>
    </x:row>
    <x:row r="6">
      <x:c r="A6" s="34" t="n">
        <x:v>5</x:v>
      </x:c>
      <x:c r="B6" s="34" t="n">
        <x:v>4</x:v>
      </x:c>
      <x:c r="C6" s="34" t="n">
        <x:v>1</x:v>
      </x:c>
      <x:c r="D6" t="str">
        <x:v>Mouse Óptico USB</x:v>
      </x:c>
      <x:c r="E6" t="str">
        <x:v>Periféricos</x:v>
      </x:c>
      <x:c r="F6" s="34" t="n">
        <x:v>1</x:v>
      </x:c>
      <x:c r="G6" t="str">
        <x:v>TechDistribuidora Brasil</x:v>
      </x:c>
      <x:c r="H6" s="34" t="n">
        <x:v>1</x:v>
      </x:c>
      <x:c r="I6" s="36" t="n">
        <x:v>49.9</x:v>
      </x:c>
      <x:c r="J6" s="38" t="n">
        <x:v>0</x:v>
      </x:c>
      <x:c r="K6" s="36" t="n">
        <x:v>49.9</x:v>
      </x:c>
      <x:c r="L6" s="36" t="n">
        <x:v>49.9</x:v>
      </x:c>
    </x:row>
    <x:row r="7">
      <x:c r="A7" s="34" t="n">
        <x:v>6</x:v>
      </x:c>
      <x:c r="B7" s="34" t="n">
        <x:v>5</x:v>
      </x:c>
      <x:c r="C7" s="34" t="n">
        <x:v>19</x:v>
      </x:c>
      <x:c r="D7" t="str">
        <x:v>Monitor LED 21.5"</x:v>
      </x:c>
      <x:c r="E7" t="str">
        <x:v>Monitores</x:v>
      </x:c>
      <x:c r="F7" s="34" t="n">
        <x:v>8</x:v>
      </x:c>
      <x:c r="G7" t="str">
        <x:v>Brasil Monitores</x:v>
      </x:c>
      <x:c r="H7" s="34" t="n">
        <x:v>1</x:v>
      </x:c>
      <x:c r="I7" s="36" t="n">
        <x:v>679.9</x:v>
      </x:c>
      <x:c r="J7" s="38" t="n">
        <x:v>0.08</x:v>
      </x:c>
      <x:c r="K7" s="36" t="n">
        <x:v>625.51</x:v>
      </x:c>
      <x:c r="L7" s="36" t="n">
        <x:v>625.51</x:v>
      </x:c>
    </x:row>
    <x:row r="8">
      <x:c r="A8" s="34" t="n">
        <x:v>7</x:v>
      </x:c>
      <x:c r="B8" s="34" t="n">
        <x:v>6</x:v>
      </x:c>
      <x:c r="C8" s="34" t="n">
        <x:v>17</x:v>
      </x:c>
      <x:c r="D8" t="str">
        <x:v>Processador Ryzen 5</x:v>
      </x:c>
      <x:c r="E8" t="str">
        <x:v>Componentes</x:v>
      </x:c>
      <x:c r="F8" s="34" t="n">
        <x:v>5</x:v>
      </x:c>
      <x:c r="G8" t="str">
        <x:v>FastHardware</x:v>
      </x:c>
      <x:c r="H8" s="34" t="n">
        <x:v>1</x:v>
      </x:c>
      <x:c r="I8" s="36" t="n">
        <x:v>799.9</x:v>
      </x:c>
      <x:c r="J8" s="38" t="n">
        <x:v>0.03</x:v>
      </x:c>
      <x:c r="K8" s="36" t="n">
        <x:v>775.9</x:v>
      </x:c>
      <x:c r="L8" s="36" t="n">
        <x:v>775.9</x:v>
      </x:c>
    </x:row>
    <x:row r="9">
      <x:c r="A9" s="34" t="n">
        <x:v>8</x:v>
      </x:c>
      <x:c r="B9" s="34" t="n">
        <x:v>6</x:v>
      </x:c>
      <x:c r="C9" s="34" t="n">
        <x:v>25</x:v>
      </x:c>
      <x:c r="D9" t="str">
        <x:v>Roteador Wi-Fi AC1200</x:v>
      </x:c>
      <x:c r="E9" t="str">
        <x:v>Rede</x:v>
      </x:c>
      <x:c r="F9" s="34" t="n">
        <x:v>6</x:v>
      </x:c>
      <x:c r="G9" t="str">
        <x:v>Connect Rede</x:v>
      </x:c>
      <x:c r="H9" s="34" t="n">
        <x:v>2</x:v>
      </x:c>
      <x:c r="I9" s="36" t="n">
        <x:v>249.9</x:v>
      </x:c>
      <x:c r="J9" s="38" t="n">
        <x:v>0.08</x:v>
      </x:c>
      <x:c r="K9" s="36" t="n">
        <x:v>229.91</x:v>
      </x:c>
      <x:c r="L9" s="36" t="n">
        <x:v>459.82</x:v>
      </x:c>
    </x:row>
    <x:row r="10">
      <x:c r="A10" s="34" t="n">
        <x:v>9</x:v>
      </x:c>
      <x:c r="B10" s="34" t="n">
        <x:v>7</x:v>
      </x:c>
      <x:c r="C10" s="34" t="n">
        <x:v>1</x:v>
      </x:c>
      <x:c r="D10" t="str">
        <x:v>Mouse Óptico USB</x:v>
      </x:c>
      <x:c r="E10" t="str">
        <x:v>Periféricos</x:v>
      </x:c>
      <x:c r="F10" s="34" t="n">
        <x:v>1</x:v>
      </x:c>
      <x:c r="G10" t="str">
        <x:v>TechDistribuidora Brasil</x:v>
      </x:c>
      <x:c r="H10" s="34" t="n">
        <x:v>1</x:v>
      </x:c>
      <x:c r="I10" s="36" t="n">
        <x:v>49.9</x:v>
      </x:c>
      <x:c r="J10" s="38" t="n">
        <x:v>0.05</x:v>
      </x:c>
      <x:c r="K10" s="36" t="n">
        <x:v>47.4</x:v>
      </x:c>
      <x:c r="L10" s="36" t="n">
        <x:v>47.4</x:v>
      </x:c>
    </x:row>
    <x:row r="11">
      <x:c r="A11" s="34" t="n">
        <x:v>10</x:v>
      </x:c>
      <x:c r="B11" s="34" t="n">
        <x:v>7</x:v>
      </x:c>
      <x:c r="C11" s="34" t="n">
        <x:v>3</x:v>
      </x:c>
      <x:c r="D11" t="str">
        <x:v>Headset Gamer P2</x:v>
      </x:c>
      <x:c r="E11" t="str">
        <x:v>Periféricos</x:v>
      </x:c>
      <x:c r="F11" s="34" t="n">
        <x:v>5</x:v>
      </x:c>
      <x:c r="G11" t="str">
        <x:v>FastHardware</x:v>
      </x:c>
      <x:c r="H11" s="34" t="n">
        <x:v>1</x:v>
      </x:c>
      <x:c r="I11" s="36" t="n">
        <x:v>159.9</x:v>
      </x:c>
      <x:c r="J11" s="38" t="n">
        <x:v>0.1</x:v>
      </x:c>
      <x:c r="K11" s="36" t="n">
        <x:v>143.91</x:v>
      </x:c>
      <x:c r="L11" s="36" t="n">
        <x:v>143.91</x:v>
      </x:c>
    </x:row>
    <x:row r="12">
      <x:c r="A12" s="34" t="n">
        <x:v>11</x:v>
      </x:c>
      <x:c r="B12" s="34" t="n">
        <x:v>7</x:v>
      </x:c>
      <x:c r="C12" s="34" t="n">
        <x:v>27</x:v>
      </x:c>
      <x:c r="D12" t="str">
        <x:v>Placa de Rede PCIe</x:v>
      </x:c>
      <x:c r="E12" t="str">
        <x:v>Rede</x:v>
      </x:c>
      <x:c r="F12" s="34" t="n">
        <x:v>6</x:v>
      </x:c>
      <x:c r="G12" t="str">
        <x:v>Connect Rede</x:v>
      </x:c>
      <x:c r="H12" s="34" t="n">
        <x:v>1</x:v>
      </x:c>
      <x:c r="I12" s="36" t="n">
        <x:v>79.9</x:v>
      </x:c>
      <x:c r="J12" s="38" t="n">
        <x:v>0.08</x:v>
      </x:c>
      <x:c r="K12" s="36" t="n">
        <x:v>73.51</x:v>
      </x:c>
      <x:c r="L12" s="36" t="n">
        <x:v>73.51</x:v>
      </x:c>
    </x:row>
    <x:row r="13">
      <x:c r="A13" s="34" t="n">
        <x:v>12</x:v>
      </x:c>
      <x:c r="B13" s="34" t="n">
        <x:v>8</x:v>
      </x:c>
      <x:c r="C13" s="34" t="n">
        <x:v>1</x:v>
      </x:c>
      <x:c r="D13" t="str">
        <x:v>Mouse Óptico USB</x:v>
      </x:c>
      <x:c r="E13" t="str">
        <x:v>Periféricos</x:v>
      </x:c>
      <x:c r="F13" s="34" t="n">
        <x:v>1</x:v>
      </x:c>
      <x:c r="G13" t="str">
        <x:v>TechDistribuidora Brasil</x:v>
      </x:c>
      <x:c r="H13" s="34" t="n">
        <x:v>1</x:v>
      </x:c>
      <x:c r="I13" s="36" t="n">
        <x:v>49.9</x:v>
      </x:c>
      <x:c r="J13" s="38" t="n">
        <x:v>0.03</x:v>
      </x:c>
      <x:c r="K13" s="36" t="n">
        <x:v>48.4</x:v>
      </x:c>
      <x:c r="L13" s="36" t="n">
        <x:v>48.4</x:v>
      </x:c>
    </x:row>
    <x:row r="14">
      <x:c r="A14" s="34" t="n">
        <x:v>13</x:v>
      </x:c>
      <x:c r="B14" s="34" t="n">
        <x:v>9</x:v>
      </x:c>
      <x:c r="C14" s="34" t="n">
        <x:v>5</x:v>
      </x:c>
      <x:c r="D14" t="str">
        <x:v>Mousepad Grande</x:v>
      </x:c>
      <x:c r="E14" t="str">
        <x:v>Acessórios</x:v>
      </x:c>
      <x:c r="F14" s="34" t="n">
        <x:v>3</x:v>
      </x:c>
      <x:c r="G14" t="str">
        <x:v>Prime Eletrônicos</x:v>
      </x:c>
      <x:c r="H14" s="34" t="n">
        <x:v>1</x:v>
      </x:c>
      <x:c r="I14" s="36" t="n">
        <x:v>39.9</x:v>
      </x:c>
      <x:c r="J14" s="38" t="n">
        <x:v>0</x:v>
      </x:c>
      <x:c r="K14" s="36" t="n">
        <x:v>39.9</x:v>
      </x:c>
      <x:c r="L14" s="36" t="n">
        <x:v>39.9</x:v>
      </x:c>
    </x:row>
    <x:row r="15">
      <x:c r="A15" s="34" t="n">
        <x:v>14</x:v>
      </x:c>
      <x:c r="B15" s="34" t="n">
        <x:v>10</x:v>
      </x:c>
      <x:c r="C15" s="34" t="n">
        <x:v>2</x:v>
      </x:c>
      <x:c r="D15" t="str">
        <x:v>Teclado Membrana ABNT2</x:v>
      </x:c>
      <x:c r="E15" t="str">
        <x:v>Periféricos</x:v>
      </x:c>
      <x:c r="F15" s="34" t="n">
        <x:v>1</x:v>
      </x:c>
      <x:c r="G15" t="str">
        <x:v>TechDistribuidora Brasil</x:v>
      </x:c>
      <x:c r="H15" s="34" t="n">
        <x:v>1</x:v>
      </x:c>
      <x:c r="I15" s="36" t="n">
        <x:v>89.9</x:v>
      </x:c>
      <x:c r="J15" s="38" t="n">
        <x:v>0</x:v>
      </x:c>
      <x:c r="K15" s="36" t="n">
        <x:v>89.9</x:v>
      </x:c>
      <x:c r="L15" s="36" t="n">
        <x:v>89.9</x:v>
      </x:c>
    </x:row>
    <x:row r="16">
      <x:c r="A16" s="34" t="n">
        <x:v>15</x:v>
      </x:c>
      <x:c r="B16" s="34" t="n">
        <x:v>11</x:v>
      </x:c>
      <x:c r="C16" s="34" t="n">
        <x:v>8</x:v>
      </x:c>
      <x:c r="D16" t="str">
        <x:v>Suporte Articulado para Monitor</x:v>
      </x:c>
      <x:c r="E16" t="str">
        <x:v>Acessórios</x:v>
      </x:c>
      <x:c r="F16" s="34" t="n">
        <x:v>7</x:v>
      </x:c>
      <x:c r="G16" t="str">
        <x:v>OfficeTech Supply</x:v>
      </x:c>
      <x:c r="H16" s="34" t="n">
        <x:v>1</x:v>
      </x:c>
      <x:c r="I16" s="36" t="n">
        <x:v>149.9</x:v>
      </x:c>
      <x:c r="J16" s="38" t="n">
        <x:v>0.12</x:v>
      </x:c>
      <x:c r="K16" s="36" t="n">
        <x:v>131.91</x:v>
      </x:c>
      <x:c r="L16" s="36" t="n">
        <x:v>131.91</x:v>
      </x:c>
    </x:row>
    <x:row r="17">
      <x:c r="A17" s="34" t="n">
        <x:v>16</x:v>
      </x:c>
      <x:c r="B17" s="34" t="n">
        <x:v>11</x:v>
      </x:c>
      <x:c r="C17" s="34" t="n">
        <x:v>5</x:v>
      </x:c>
      <x:c r="D17" t="str">
        <x:v>Mousepad Grande</x:v>
      </x:c>
      <x:c r="E17" t="str">
        <x:v>Acessórios</x:v>
      </x:c>
      <x:c r="F17" s="34" t="n">
        <x:v>3</x:v>
      </x:c>
      <x:c r="G17" t="str">
        <x:v>Prime Eletrônicos</x:v>
      </x:c>
      <x:c r="H17" s="34" t="n">
        <x:v>4</x:v>
      </x:c>
      <x:c r="I17" s="36" t="n">
        <x:v>39.9</x:v>
      </x:c>
      <x:c r="J17" s="38" t="n">
        <x:v>0</x:v>
      </x:c>
      <x:c r="K17" s="36" t="n">
        <x:v>39.9</x:v>
      </x:c>
      <x:c r="L17" s="36" t="n">
        <x:v>159.6</x:v>
      </x:c>
    </x:row>
    <x:row r="18">
      <x:c r="A18" s="34" t="n">
        <x:v>17</x:v>
      </x:c>
      <x:c r="B18" s="34" t="n">
        <x:v>11</x:v>
      </x:c>
      <x:c r="C18" s="34" t="n">
        <x:v>10</x:v>
      </x:c>
      <x:c r="D18" t="str">
        <x:v>SSD 480GB SATA</x:v>
      </x:c>
      <x:c r="E18" t="str">
        <x:v>Armazenamento</x:v>
      </x:c>
      <x:c r="F18" s="34" t="n">
        <x:v>2</x:v>
      </x:c>
      <x:c r="G18" t="str">
        <x:v>Mega Componentes</x:v>
      </x:c>
      <x:c r="H18" s="34" t="n">
        <x:v>1</x:v>
      </x:c>
      <x:c r="I18" s="36" t="n">
        <x:v>259.9</x:v>
      </x:c>
      <x:c r="J18" s="38" t="n">
        <x:v>0</x:v>
      </x:c>
      <x:c r="K18" s="36" t="n">
        <x:v>259.9</x:v>
      </x:c>
      <x:c r="L18" s="36" t="n">
        <x:v>259.9</x:v>
      </x:c>
    </x:row>
    <x:row r="19">
      <x:c r="A19" s="34" t="n">
        <x:v>18</x:v>
      </x:c>
      <x:c r="B19" s="34" t="n">
        <x:v>12</x:v>
      </x:c>
      <x:c r="C19" s="34" t="n">
        <x:v>28</x:v>
      </x:c>
      <x:c r="D19" t="str">
        <x:v>Repetidor Wi-Fi</x:v>
      </x:c>
      <x:c r="E19" t="str">
        <x:v>Rede</x:v>
      </x:c>
      <x:c r="F19" s="34" t="n">
        <x:v>6</x:v>
      </x:c>
      <x:c r="G19" t="str">
        <x:v>Connect Rede</x:v>
      </x:c>
      <x:c r="H19" s="34" t="n">
        <x:v>1</x:v>
      </x:c>
      <x:c r="I19" s="36" t="n">
        <x:v>139.9</x:v>
      </x:c>
      <x:c r="J19" s="38" t="n">
        <x:v>0.03</x:v>
      </x:c>
      <x:c r="K19" s="36" t="n">
        <x:v>135.7</x:v>
      </x:c>
      <x:c r="L19" s="36" t="n">
        <x:v>135.7</x:v>
      </x:c>
    </x:row>
    <x:row r="20">
      <x:c r="A20" s="34" t="n">
        <x:v>19</x:v>
      </x:c>
      <x:c r="B20" s="34" t="n">
        <x:v>13</x:v>
      </x:c>
      <x:c r="C20" s="34" t="n">
        <x:v>20</x:v>
      </x:c>
      <x:c r="D20" t="str">
        <x:v>Monitor IPS 24"</x:v>
      </x:c>
      <x:c r="E20" t="str">
        <x:v>Monitores</x:v>
      </x:c>
      <x:c r="F20" s="34" t="n">
        <x:v>8</x:v>
      </x:c>
      <x:c r="G20" t="str">
        <x:v>Brasil Monitores</x:v>
      </x:c>
      <x:c r="H20" s="34" t="n">
        <x:v>1</x:v>
      </x:c>
      <x:c r="I20" s="36" t="n">
        <x:v>899.9</x:v>
      </x:c>
      <x:c r="J20" s="38" t="n">
        <x:v>0.03</x:v>
      </x:c>
      <x:c r="K20" s="36" t="n">
        <x:v>872.9</x:v>
      </x:c>
      <x:c r="L20" s="36" t="n">
        <x:v>872.9</x:v>
      </x:c>
    </x:row>
    <x:row r="21">
      <x:c r="A21" s="34" t="n">
        <x:v>20</x:v>
      </x:c>
      <x:c r="B21" s="34" t="n">
        <x:v>13</x:v>
      </x:c>
      <x:c r="C21" s="34" t="n">
        <x:v>5</x:v>
      </x:c>
      <x:c r="D21" t="str">
        <x:v>Mousepad Grande</x:v>
      </x:c>
      <x:c r="E21" t="str">
        <x:v>Acessórios</x:v>
      </x:c>
      <x:c r="F21" s="34" t="n">
        <x:v>3</x:v>
      </x:c>
      <x:c r="G21" t="str">
        <x:v>Prime Eletrônicos</x:v>
      </x:c>
      <x:c r="H21" s="34" t="n">
        <x:v>1</x:v>
      </x:c>
      <x:c r="I21" s="36" t="n">
        <x:v>39.9</x:v>
      </x:c>
      <x:c r="J21" s="38" t="n">
        <x:v>0.05</x:v>
      </x:c>
      <x:c r="K21" s="36" t="n">
        <x:v>37.9</x:v>
      </x:c>
      <x:c r="L21" s="36" t="n">
        <x:v>37.9</x:v>
      </x:c>
    </x:row>
    <x:row r="22">
      <x:c r="A22" s="34" t="n">
        <x:v>21</x:v>
      </x:c>
      <x:c r="B22" s="34" t="n">
        <x:v>13</x:v>
      </x:c>
      <x:c r="C22" s="34" t="n">
        <x:v>25</x:v>
      </x:c>
      <x:c r="D22" t="str">
        <x:v>Roteador Wi-Fi AC1200</x:v>
      </x:c>
      <x:c r="E22" t="str">
        <x:v>Rede</x:v>
      </x:c>
      <x:c r="F22" s="34" t="n">
        <x:v>6</x:v>
      </x:c>
      <x:c r="G22" t="str">
        <x:v>Connect Rede</x:v>
      </x:c>
      <x:c r="H22" s="34" t="n">
        <x:v>1</x:v>
      </x:c>
      <x:c r="I22" s="36" t="n">
        <x:v>249.9</x:v>
      </x:c>
      <x:c r="J22" s="38" t="n">
        <x:v>0</x:v>
      </x:c>
      <x:c r="K22" s="36" t="n">
        <x:v>249.9</x:v>
      </x:c>
      <x:c r="L22" s="36" t="n">
        <x:v>249.9</x:v>
      </x:c>
    </x:row>
    <x:row r="23">
      <x:c r="A23" s="34" t="n">
        <x:v>22</x:v>
      </x:c>
      <x:c r="B23" s="34" t="n">
        <x:v>14</x:v>
      </x:c>
      <x:c r="C23" s="34" t="n">
        <x:v>18</x:v>
      </x:c>
      <x:c r="D23" t="str">
        <x:v>Cooler para Processador</x:v>
      </x:c>
      <x:c r="E23" t="str">
        <x:v>Componentes</x:v>
      </x:c>
      <x:c r="F23" s="34" t="n">
        <x:v>2</x:v>
      </x:c>
      <x:c r="G23" t="str">
        <x:v>Mega Componentes</x:v>
      </x:c>
      <x:c r="H23" s="34" t="n">
        <x:v>2</x:v>
      </x:c>
      <x:c r="I23" s="36" t="n">
        <x:v>99.9</x:v>
      </x:c>
      <x:c r="J23" s="38" t="n">
        <x:v>0.08</x:v>
      </x:c>
      <x:c r="K23" s="36" t="n">
        <x:v>91.91</x:v>
      </x:c>
      <x:c r="L23" s="36" t="n">
        <x:v>183.82</x:v>
      </x:c>
    </x:row>
    <x:row r="24">
      <x:c r="A24" s="34" t="n">
        <x:v>23</x:v>
      </x:c>
      <x:c r="B24" s="34" t="n">
        <x:v>15</x:v>
      </x:c>
      <x:c r="C24" s="34" t="n">
        <x:v>28</x:v>
      </x:c>
      <x:c r="D24" t="str">
        <x:v>Repetidor Wi-Fi</x:v>
      </x:c>
      <x:c r="E24" t="str">
        <x:v>Rede</x:v>
      </x:c>
      <x:c r="F24" s="34" t="n">
        <x:v>6</x:v>
      </x:c>
      <x:c r="G24" t="str">
        <x:v>Connect Rede</x:v>
      </x:c>
      <x:c r="H24" s="34" t="n">
        <x:v>1</x:v>
      </x:c>
      <x:c r="I24" s="36" t="n">
        <x:v>139.9</x:v>
      </x:c>
      <x:c r="J24" s="38" t="n">
        <x:v>0</x:v>
      </x:c>
      <x:c r="K24" s="36" t="n">
        <x:v>139.9</x:v>
      </x:c>
      <x:c r="L24" s="36" t="n">
        <x:v>139.9</x:v>
      </x:c>
    </x:row>
    <x:row r="25">
      <x:c r="A25" s="34" t="n">
        <x:v>24</x:v>
      </x:c>
      <x:c r="B25" s="34" t="n">
        <x:v>15</x:v>
      </x:c>
      <x:c r="C25" s="34" t="n">
        <x:v>5</x:v>
      </x:c>
      <x:c r="D25" t="str">
        <x:v>Mousepad Grande</x:v>
      </x:c>
      <x:c r="E25" t="str">
        <x:v>Acessórios</x:v>
      </x:c>
      <x:c r="F25" s="34" t="n">
        <x:v>3</x:v>
      </x:c>
      <x:c r="G25" t="str">
        <x:v>Prime Eletrônicos</x:v>
      </x:c>
      <x:c r="H25" s="34" t="n">
        <x:v>1</x:v>
      </x:c>
      <x:c r="I25" s="36" t="n">
        <x:v>39.9</x:v>
      </x:c>
      <x:c r="J25" s="38" t="n">
        <x:v>0</x:v>
      </x:c>
      <x:c r="K25" s="36" t="n">
        <x:v>39.9</x:v>
      </x:c>
      <x:c r="L25" s="36" t="n">
        <x:v>39.9</x:v>
      </x:c>
    </x:row>
    <x:row r="26">
      <x:c r="A26" s="34" t="n">
        <x:v>25</x:v>
      </x:c>
      <x:c r="B26" s="34" t="n">
        <x:v>15</x:v>
      </x:c>
      <x:c r="C26" s="34" t="n">
        <x:v>27</x:v>
      </x:c>
      <x:c r="D26" t="str">
        <x:v>Placa de Rede PCIe</x:v>
      </x:c>
      <x:c r="E26" t="str">
        <x:v>Rede</x:v>
      </x:c>
      <x:c r="F26" s="34" t="n">
        <x:v>6</x:v>
      </x:c>
      <x:c r="G26" t="str">
        <x:v>Connect Rede</x:v>
      </x:c>
      <x:c r="H26" s="34" t="n">
        <x:v>1</x:v>
      </x:c>
      <x:c r="I26" s="36" t="n">
        <x:v>79.9</x:v>
      </x:c>
      <x:c r="J26" s="38" t="n">
        <x:v>0</x:v>
      </x:c>
      <x:c r="K26" s="36" t="n">
        <x:v>79.9</x:v>
      </x:c>
      <x:c r="L26" s="36" t="n">
        <x:v>79.9</x:v>
      </x:c>
    </x:row>
    <x:row r="27">
      <x:c r="A27" s="34" t="n">
        <x:v>26</x:v>
      </x:c>
      <x:c r="B27" s="34" t="n">
        <x:v>15</x:v>
      </x:c>
      <x:c r="C27" s="34" t="n">
        <x:v>25</x:v>
      </x:c>
      <x:c r="D27" t="str">
        <x:v>Roteador Wi-Fi AC1200</x:v>
      </x:c>
      <x:c r="E27" t="str">
        <x:v>Rede</x:v>
      </x:c>
      <x:c r="F27" s="34" t="n">
        <x:v>6</x:v>
      </x:c>
      <x:c r="G27" t="str">
        <x:v>Connect Rede</x:v>
      </x:c>
      <x:c r="H27" s="34" t="n">
        <x:v>2</x:v>
      </x:c>
      <x:c r="I27" s="36" t="n">
        <x:v>249.9</x:v>
      </x:c>
      <x:c r="J27" s="38" t="n">
        <x:v>0</x:v>
      </x:c>
      <x:c r="K27" s="36" t="n">
        <x:v>249.9</x:v>
      </x:c>
      <x:c r="L27" s="36" t="n">
        <x:v>499.8</x:v>
      </x:c>
    </x:row>
    <x:row r="28">
      <x:c r="A28" s="34" t="n">
        <x:v>27</x:v>
      </x:c>
      <x:c r="B28" s="34" t="n">
        <x:v>16</x:v>
      </x:c>
      <x:c r="C28" s="34" t="n">
        <x:v>2</x:v>
      </x:c>
      <x:c r="D28" t="str">
        <x:v>Teclado Membrana ABNT2</x:v>
      </x:c>
      <x:c r="E28" t="str">
        <x:v>Periféricos</x:v>
      </x:c>
      <x:c r="F28" s="34" t="n">
        <x:v>1</x:v>
      </x:c>
      <x:c r="G28" t="str">
        <x:v>TechDistribuidora Brasil</x:v>
      </x:c>
      <x:c r="H28" s="34" t="n">
        <x:v>1</x:v>
      </x:c>
      <x:c r="I28" s="36" t="n">
        <x:v>89.9</x:v>
      </x:c>
      <x:c r="J28" s="38" t="n">
        <x:v>0.1</x:v>
      </x:c>
      <x:c r="K28" s="36" t="n">
        <x:v>80.91</x:v>
      </x:c>
      <x:c r="L28" s="36" t="n">
        <x:v>80.91</x:v>
      </x:c>
    </x:row>
    <x:row r="29">
      <x:c r="A29" s="34" t="n">
        <x:v>28</x:v>
      </x:c>
      <x:c r="B29" s="34" t="n">
        <x:v>16</x:v>
      </x:c>
      <x:c r="C29" s="34" t="n">
        <x:v>5</x:v>
      </x:c>
      <x:c r="D29" t="str">
        <x:v>Mousepad Grande</x:v>
      </x:c>
      <x:c r="E29" t="str">
        <x:v>Acessórios</x:v>
      </x:c>
      <x:c r="F29" s="34" t="n">
        <x:v>3</x:v>
      </x:c>
      <x:c r="G29" t="str">
        <x:v>Prime Eletrônicos</x:v>
      </x:c>
      <x:c r="H29" s="34" t="n">
        <x:v>1</x:v>
      </x:c>
      <x:c r="I29" s="36" t="n">
        <x:v>39.9</x:v>
      </x:c>
      <x:c r="J29" s="38" t="n">
        <x:v>0</x:v>
      </x:c>
      <x:c r="K29" s="36" t="n">
        <x:v>39.9</x:v>
      </x:c>
      <x:c r="L29" s="36" t="n">
        <x:v>39.9</x:v>
      </x:c>
    </x:row>
    <x:row r="30">
      <x:c r="A30" s="34" t="n">
        <x:v>29</x:v>
      </x:c>
      <x:c r="B30" s="34" t="n">
        <x:v>16</x:v>
      </x:c>
      <x:c r="C30" s="34" t="n">
        <x:v>1</x:v>
      </x:c>
      <x:c r="D30" t="str">
        <x:v>Mouse Óptico USB</x:v>
      </x:c>
      <x:c r="E30" t="str">
        <x:v>Periféricos</x:v>
      </x:c>
      <x:c r="F30" s="34" t="n">
        <x:v>1</x:v>
      </x:c>
      <x:c r="G30" t="str">
        <x:v>TechDistribuidora Brasil</x:v>
      </x:c>
      <x:c r="H30" s="34" t="n">
        <x:v>1</x:v>
      </x:c>
      <x:c r="I30" s="36" t="n">
        <x:v>49.9</x:v>
      </x:c>
      <x:c r="J30" s="38" t="n">
        <x:v>0.08</x:v>
      </x:c>
      <x:c r="K30" s="36" t="n">
        <x:v>45.91</x:v>
      </x:c>
      <x:c r="L30" s="36" t="n">
        <x:v>45.91</x:v>
      </x:c>
    </x:row>
    <x:row r="31">
      <x:c r="A31" s="34" t="n">
        <x:v>30</x:v>
      </x:c>
      <x:c r="B31" s="34" t="n">
        <x:v>16</x:v>
      </x:c>
      <x:c r="C31" s="34" t="n">
        <x:v>27</x:v>
      </x:c>
      <x:c r="D31" t="str">
        <x:v>Placa de Rede PCIe</x:v>
      </x:c>
      <x:c r="E31" t="str">
        <x:v>Rede</x:v>
      </x:c>
      <x:c r="F31" s="34" t="n">
        <x:v>6</x:v>
      </x:c>
      <x:c r="G31" t="str">
        <x:v>Connect Rede</x:v>
      </x:c>
      <x:c r="H31" s="34" t="n">
        <x:v>1</x:v>
      </x:c>
      <x:c r="I31" s="36" t="n">
        <x:v>79.9</x:v>
      </x:c>
      <x:c r="J31" s="38" t="n">
        <x:v>0</x:v>
      </x:c>
      <x:c r="K31" s="36" t="n">
        <x:v>79.9</x:v>
      </x:c>
      <x:c r="L31" s="36" t="n">
        <x:v>79.9</x:v>
      </x:c>
    </x:row>
    <x:row r="32">
      <x:c r="A32" s="34" t="n">
        <x:v>31</x:v>
      </x:c>
      <x:c r="B32" s="34" t="n">
        <x:v>17</x:v>
      </x:c>
      <x:c r="C32" s="34" t="n">
        <x:v>10</x:v>
      </x:c>
      <x:c r="D32" t="str">
        <x:v>SSD 480GB SATA</x:v>
      </x:c>
      <x:c r="E32" t="str">
        <x:v>Armazenamento</x:v>
      </x:c>
      <x:c r="F32" s="34" t="n">
        <x:v>2</x:v>
      </x:c>
      <x:c r="G32" t="str">
        <x:v>Mega Componentes</x:v>
      </x:c>
      <x:c r="H32" s="34" t="n">
        <x:v>1</x:v>
      </x:c>
      <x:c r="I32" s="36" t="n">
        <x:v>259.9</x:v>
      </x:c>
      <x:c r="J32" s="38" t="n">
        <x:v>0.05</x:v>
      </x:c>
      <x:c r="K32" s="36" t="n">
        <x:v>246.9</x:v>
      </x:c>
      <x:c r="L32" s="36" t="n">
        <x:v>246.9</x:v>
      </x:c>
    </x:row>
    <x:row r="33">
      <x:c r="A33" s="34" t="n">
        <x:v>32</x:v>
      </x:c>
      <x:c r="B33" s="34" t="n">
        <x:v>17</x:v>
      </x:c>
      <x:c r="C33" s="34" t="n">
        <x:v>12</x:v>
      </x:c>
      <x:c r="D33" t="str">
        <x:v>HD Externo 1TB</x:v>
      </x:c>
      <x:c r="E33" t="str">
        <x:v>Armazenamento</x:v>
      </x:c>
      <x:c r="F33" s="34" t="n">
        <x:v>4</x:v>
      </x:c>
      <x:c r="G33" t="str">
        <x:v>InfoMax Atacado</x:v>
      </x:c>
      <x:c r="H33" s="34" t="n">
        <x:v>1</x:v>
      </x:c>
      <x:c r="I33" s="36" t="n">
        <x:v>369.9</x:v>
      </x:c>
      <x:c r="J33" s="38" t="n">
        <x:v>0</x:v>
      </x:c>
      <x:c r="K33" s="36" t="n">
        <x:v>369.9</x:v>
      </x:c>
      <x:c r="L33" s="36" t="n">
        <x:v>369.9</x:v>
      </x:c>
    </x:row>
    <x:row r="34">
      <x:c r="A34" s="34" t="n">
        <x:v>33</x:v>
      </x:c>
      <x:c r="B34" s="34" t="n">
        <x:v>18</x:v>
      </x:c>
      <x:c r="C34" s="34" t="n">
        <x:v>15</x:v>
      </x:c>
      <x:c r="D34" t="str">
        <x:v>Fonte 500W 80 Plus</x:v>
      </x:c>
      <x:c r="E34" t="str">
        <x:v>Componentes</x:v>
      </x:c>
      <x:c r="F34" s="34" t="n">
        <x:v>5</x:v>
      </x:c>
      <x:c r="G34" t="str">
        <x:v>FastHardware</x:v>
      </x:c>
      <x:c r="H34" s="34" t="n">
        <x:v>1</x:v>
      </x:c>
      <x:c r="I34" s="36" t="n">
        <x:v>289.9</x:v>
      </x:c>
      <x:c r="J34" s="38" t="n">
        <x:v>0.08</x:v>
      </x:c>
      <x:c r="K34" s="36" t="n">
        <x:v>266.71</x:v>
      </x:c>
      <x:c r="L34" s="36" t="n">
        <x:v>266.71</x:v>
      </x:c>
    </x:row>
    <x:row r="35">
      <x:c r="A35" s="34" t="n">
        <x:v>34</x:v>
      </x:c>
      <x:c r="B35" s="34" t="n">
        <x:v>19</x:v>
      </x:c>
      <x:c r="C35" s="34" t="n">
        <x:v>14</x:v>
      </x:c>
      <x:c r="D35" t="str">
        <x:v>Memória RAM 16GB DDR4</x:v>
      </x:c>
      <x:c r="E35" t="str">
        <x:v>Componentes</x:v>
      </x:c>
      <x:c r="F35" s="34" t="n">
        <x:v>2</x:v>
      </x:c>
      <x:c r="G35" t="str">
        <x:v>Mega Componentes</x:v>
      </x:c>
      <x:c r="H35" s="34" t="n">
        <x:v>1</x:v>
      </x:c>
      <x:c r="I35" s="36" t="n">
        <x:v>319.9</x:v>
      </x:c>
      <x:c r="J35" s="38" t="n">
        <x:v>0.08</x:v>
      </x:c>
      <x:c r="K35" s="36" t="n">
        <x:v>294.31</x:v>
      </x:c>
      <x:c r="L35" s="36" t="n">
        <x:v>294.31</x:v>
      </x:c>
    </x:row>
    <x:row r="36">
      <x:c r="A36" s="34" t="n">
        <x:v>35</x:v>
      </x:c>
      <x:c r="B36" s="34" t="n">
        <x:v>20</x:v>
      </x:c>
      <x:c r="C36" s="34" t="n">
        <x:v>27</x:v>
      </x:c>
      <x:c r="D36" t="str">
        <x:v>Placa de Rede PCIe</x:v>
      </x:c>
      <x:c r="E36" t="str">
        <x:v>Rede</x:v>
      </x:c>
      <x:c r="F36" s="34" t="n">
        <x:v>6</x:v>
      </x:c>
      <x:c r="G36" t="str">
        <x:v>Connect Rede</x:v>
      </x:c>
      <x:c r="H36" s="34" t="n">
        <x:v>1</x:v>
      </x:c>
      <x:c r="I36" s="36" t="n">
        <x:v>79.9</x:v>
      </x:c>
      <x:c r="J36" s="38" t="n">
        <x:v>0</x:v>
      </x:c>
      <x:c r="K36" s="36" t="n">
        <x:v>79.9</x:v>
      </x:c>
      <x:c r="L36" s="36" t="n">
        <x:v>79.9</x:v>
      </x:c>
    </x:row>
    <x:row r="37">
      <x:c r="A37" s="34" t="n">
        <x:v>36</x:v>
      </x:c>
      <x:c r="B37" s="34" t="n">
        <x:v>21</x:v>
      </x:c>
      <x:c r="C37" s="34" t="n">
        <x:v>26</x:v>
      </x:c>
      <x:c r="D37" t="str">
        <x:v>Switch 8 Portas Gigabit</x:v>
      </x:c>
      <x:c r="E37" t="str">
        <x:v>Rede</x:v>
      </x:c>
      <x:c r="F37" s="34" t="n">
        <x:v>6</x:v>
      </x:c>
      <x:c r="G37" t="str">
        <x:v>Connect Rede</x:v>
      </x:c>
      <x:c r="H37" s="34" t="n">
        <x:v>1</x:v>
      </x:c>
      <x:c r="I37" s="36" t="n">
        <x:v>189.9</x:v>
      </x:c>
      <x:c r="J37" s="38" t="n">
        <x:v>0</x:v>
      </x:c>
      <x:c r="K37" s="36" t="n">
        <x:v>189.9</x:v>
      </x:c>
      <x:c r="L37" s="36" t="n">
        <x:v>189.9</x:v>
      </x:c>
    </x:row>
    <x:row r="38">
      <x:c r="A38" s="34" t="n">
        <x:v>37</x:v>
      </x:c>
      <x:c r="B38" s="34" t="n">
        <x:v>22</x:v>
      </x:c>
      <x:c r="C38" s="34" t="n">
        <x:v>8</x:v>
      </x:c>
      <x:c r="D38" t="str">
        <x:v>Suporte Articulado para Monitor</x:v>
      </x:c>
      <x:c r="E38" t="str">
        <x:v>Acessórios</x:v>
      </x:c>
      <x:c r="F38" s="34" t="n">
        <x:v>7</x:v>
      </x:c>
      <x:c r="G38" t="str">
        <x:v>OfficeTech Supply</x:v>
      </x:c>
      <x:c r="H38" s="34" t="n">
        <x:v>4</x:v>
      </x:c>
      <x:c r="I38" s="36" t="n">
        <x:v>149.9</x:v>
      </x:c>
      <x:c r="J38" s="38" t="n">
        <x:v>0.03</x:v>
      </x:c>
      <x:c r="K38" s="36" t="n">
        <x:v>145.4</x:v>
      </x:c>
      <x:c r="L38" s="36" t="n">
        <x:v>581.6</x:v>
      </x:c>
    </x:row>
    <x:row r="39">
      <x:c r="A39" s="34" t="n">
        <x:v>38</x:v>
      </x:c>
      <x:c r="B39" s="34" t="n">
        <x:v>22</x:v>
      </x:c>
      <x:c r="C39" s="34" t="n">
        <x:v>21</x:v>
      </x:c>
      <x:c r="D39" t="str">
        <x:v>Monitor Gamer 27"</x:v>
      </x:c>
      <x:c r="E39" t="str">
        <x:v>Monitores</x:v>
      </x:c>
      <x:c r="F39" s="34" t="n">
        <x:v>8</x:v>
      </x:c>
      <x:c r="G39" t="str">
        <x:v>Brasil Monitores</x:v>
      </x:c>
      <x:c r="H39" s="34" t="n">
        <x:v>1</x:v>
      </x:c>
      <x:c r="I39" s="36" t="n">
        <x:v>1599.9</x:v>
      </x:c>
      <x:c r="J39" s="38" t="n">
        <x:v>0.1</x:v>
      </x:c>
      <x:c r="K39" s="36" t="n">
        <x:v>1439.91</x:v>
      </x:c>
      <x:c r="L39" s="36" t="n">
        <x:v>1439.91</x:v>
      </x:c>
    </x:row>
    <x:row r="40">
      <x:c r="A40" s="34" t="n">
        <x:v>39</x:v>
      </x:c>
      <x:c r="B40" s="34" t="n">
        <x:v>23</x:v>
      </x:c>
      <x:c r="C40" s="34" t="n">
        <x:v>7</x:v>
      </x:c>
      <x:c r="D40" t="str">
        <x:v>Adaptador USB-C HDMI</x:v>
      </x:c>
      <x:c r="E40" t="str">
        <x:v>Acessórios</x:v>
      </x:c>
      <x:c r="F40" s="34" t="n">
        <x:v>3</x:v>
      </x:c>
      <x:c r="G40" t="str">
        <x:v>Prime Eletrônicos</x:v>
      </x:c>
      <x:c r="H40" s="34" t="n">
        <x:v>3</x:v>
      </x:c>
      <x:c r="I40" s="36" t="n">
        <x:v>119.9</x:v>
      </x:c>
      <x:c r="J40" s="38" t="n">
        <x:v>0</x:v>
      </x:c>
      <x:c r="K40" s="36" t="n">
        <x:v>119.9</x:v>
      </x:c>
      <x:c r="L40" s="36" t="n">
        <x:v>359.7</x:v>
      </x:c>
    </x:row>
    <x:row r="41">
      <x:c r="A41" s="34" t="n">
        <x:v>40</x:v>
      </x:c>
      <x:c r="B41" s="34" t="n">
        <x:v>23</x:v>
      </x:c>
      <x:c r="C41" s="34" t="n">
        <x:v>2</x:v>
      </x:c>
      <x:c r="D41" t="str">
        <x:v>Teclado Membrana ABNT2</x:v>
      </x:c>
      <x:c r="E41" t="str">
        <x:v>Periféricos</x:v>
      </x:c>
      <x:c r="F41" s="34" t="n">
        <x:v>1</x:v>
      </x:c>
      <x:c r="G41" t="str">
        <x:v>TechDistribuidora Brasil</x:v>
      </x:c>
      <x:c r="H41" s="34" t="n">
        <x:v>1</x:v>
      </x:c>
      <x:c r="I41" s="36" t="n">
        <x:v>89.9</x:v>
      </x:c>
      <x:c r="J41" s="38" t="n">
        <x:v>0</x:v>
      </x:c>
      <x:c r="K41" s="36" t="n">
        <x:v>89.9</x:v>
      </x:c>
      <x:c r="L41" s="36" t="n">
        <x:v>89.9</x:v>
      </x:c>
    </x:row>
    <x:row r="42">
      <x:c r="A42" s="34" t="n">
        <x:v>41</x:v>
      </x:c>
      <x:c r="B42" s="34" t="n">
        <x:v>23</x:v>
      </x:c>
      <x:c r="C42" s="34" t="n">
        <x:v>17</x:v>
      </x:c>
      <x:c r="D42" t="str">
        <x:v>Processador Ryzen 5</x:v>
      </x:c>
      <x:c r="E42" t="str">
        <x:v>Componentes</x:v>
      </x:c>
      <x:c r="F42" s="34" t="n">
        <x:v>5</x:v>
      </x:c>
      <x:c r="G42" t="str">
        <x:v>FastHardware</x:v>
      </x:c>
      <x:c r="H42" s="34" t="n">
        <x:v>1</x:v>
      </x:c>
      <x:c r="I42" s="36" t="n">
        <x:v>799.9</x:v>
      </x:c>
      <x:c r="J42" s="38" t="n">
        <x:v>0</x:v>
      </x:c>
      <x:c r="K42" s="36" t="n">
        <x:v>799.9</x:v>
      </x:c>
      <x:c r="L42" s="36" t="n">
        <x:v>799.9</x:v>
      </x:c>
    </x:row>
    <x:row r="43">
      <x:c r="A43" s="34" t="n">
        <x:v>42</x:v>
      </x:c>
      <x:c r="B43" s="34" t="n">
        <x:v>24</x:v>
      </x:c>
      <x:c r="C43" s="34" t="n">
        <x:v>14</x:v>
      </x:c>
      <x:c r="D43" t="str">
        <x:v>Memória RAM 16GB DDR4</x:v>
      </x:c>
      <x:c r="E43" t="str">
        <x:v>Componentes</x:v>
      </x:c>
      <x:c r="F43" s="34" t="n">
        <x:v>2</x:v>
      </x:c>
      <x:c r="G43" t="str">
        <x:v>Mega Componentes</x:v>
      </x:c>
      <x:c r="H43" s="34" t="n">
        <x:v>1</x:v>
      </x:c>
      <x:c r="I43" s="36" t="n">
        <x:v>319.9</x:v>
      </x:c>
      <x:c r="J43" s="38" t="n">
        <x:v>0.05</x:v>
      </x:c>
      <x:c r="K43" s="36" t="n">
        <x:v>303.9</x:v>
      </x:c>
      <x:c r="L43" s="36" t="n">
        <x:v>303.9</x:v>
      </x:c>
    </x:row>
    <x:row r="44">
      <x:c r="A44" s="34" t="n">
        <x:v>43</x:v>
      </x:c>
      <x:c r="B44" s="34" t="n">
        <x:v>24</x:v>
      </x:c>
      <x:c r="C44" s="34" t="n">
        <x:v>19</x:v>
      </x:c>
      <x:c r="D44" t="str">
        <x:v>Monitor LED 21.5"</x:v>
      </x:c>
      <x:c r="E44" t="str">
        <x:v>Monitores</x:v>
      </x:c>
      <x:c r="F44" s="34" t="n">
        <x:v>8</x:v>
      </x:c>
      <x:c r="G44" t="str">
        <x:v>Brasil Monitores</x:v>
      </x:c>
      <x:c r="H44" s="34" t="n">
        <x:v>1</x:v>
      </x:c>
      <x:c r="I44" s="36" t="n">
        <x:v>679.9</x:v>
      </x:c>
      <x:c r="J44" s="38" t="n">
        <x:v>0</x:v>
      </x:c>
      <x:c r="K44" s="36" t="n">
        <x:v>679.9</x:v>
      </x:c>
      <x:c r="L44" s="36" t="n">
        <x:v>679.9</x:v>
      </x:c>
    </x:row>
    <x:row r="45">
      <x:c r="A45" s="34" t="n">
        <x:v>44</x:v>
      </x:c>
      <x:c r="B45" s="34" t="n">
        <x:v>24</x:v>
      </x:c>
      <x:c r="C45" s="34" t="n">
        <x:v>18</x:v>
      </x:c>
      <x:c r="D45" t="str">
        <x:v>Cooler para Processador</x:v>
      </x:c>
      <x:c r="E45" t="str">
        <x:v>Componentes</x:v>
      </x:c>
      <x:c r="F45" s="34" t="n">
        <x:v>2</x:v>
      </x:c>
      <x:c r="G45" t="str">
        <x:v>Mega Componentes</x:v>
      </x:c>
      <x:c r="H45" s="34" t="n">
        <x:v>3</x:v>
      </x:c>
      <x:c r="I45" s="36" t="n">
        <x:v>99.9</x:v>
      </x:c>
      <x:c r="J45" s="38" t="n">
        <x:v>0</x:v>
      </x:c>
      <x:c r="K45" s="36" t="n">
        <x:v>99.9</x:v>
      </x:c>
      <x:c r="L45" s="36" t="n">
        <x:v>299.7</x:v>
      </x:c>
    </x:row>
    <x:row r="46">
      <x:c r="A46" s="34" t="n">
        <x:v>45</x:v>
      </x:c>
      <x:c r="B46" s="34" t="n">
        <x:v>25</x:v>
      </x:c>
      <x:c r="C46" s="34" t="n">
        <x:v>18</x:v>
      </x:c>
      <x:c r="D46" t="str">
        <x:v>Cooler para Processador</x:v>
      </x:c>
      <x:c r="E46" t="str">
        <x:v>Componentes</x:v>
      </x:c>
      <x:c r="F46" s="34" t="n">
        <x:v>2</x:v>
      </x:c>
      <x:c r="G46" t="str">
        <x:v>Mega Componentes</x:v>
      </x:c>
      <x:c r="H46" s="34" t="n">
        <x:v>1</x:v>
      </x:c>
      <x:c r="I46" s="36" t="n">
        <x:v>99.9</x:v>
      </x:c>
      <x:c r="J46" s="38" t="n">
        <x:v>0</x:v>
      </x:c>
      <x:c r="K46" s="36" t="n">
        <x:v>99.9</x:v>
      </x:c>
      <x:c r="L46" s="36" t="n">
        <x:v>99.9</x:v>
      </x:c>
    </x:row>
    <x:row r="47">
      <x:c r="A47" s="34" t="n">
        <x:v>46</x:v>
      </x:c>
      <x:c r="B47" s="34" t="n">
        <x:v>26</x:v>
      </x:c>
      <x:c r="C47" s="34" t="n">
        <x:v>27</x:v>
      </x:c>
      <x:c r="D47" t="str">
        <x:v>Placa de Rede PCIe</x:v>
      </x:c>
      <x:c r="E47" t="str">
        <x:v>Rede</x:v>
      </x:c>
      <x:c r="F47" s="34" t="n">
        <x:v>6</x:v>
      </x:c>
      <x:c r="G47" t="str">
        <x:v>Connect Rede</x:v>
      </x:c>
      <x:c r="H47" s="34" t="n">
        <x:v>1</x:v>
      </x:c>
      <x:c r="I47" s="36" t="n">
        <x:v>79.9</x:v>
      </x:c>
      <x:c r="J47" s="38" t="n">
        <x:v>0</x:v>
      </x:c>
      <x:c r="K47" s="36" t="n">
        <x:v>79.9</x:v>
      </x:c>
      <x:c r="L47" s="36" t="n">
        <x:v>79.9</x:v>
      </x:c>
    </x:row>
    <x:row r="48">
      <x:c r="A48" s="34" t="n">
        <x:v>47</x:v>
      </x:c>
      <x:c r="B48" s="34" t="n">
        <x:v>27</x:v>
      </x:c>
      <x:c r="C48" s="34" t="n">
        <x:v>6</x:v>
      </x:c>
      <x:c r="D48" t="str">
        <x:v>Cabo HDMI 2m</x:v>
      </x:c>
      <x:c r="E48" t="str">
        <x:v>Acessórios</x:v>
      </x:c>
      <x:c r="F48" s="34" t="n">
        <x:v>3</x:v>
      </x:c>
      <x:c r="G48" t="str">
        <x:v>Prime Eletrônicos</x:v>
      </x:c>
      <x:c r="H48" s="34" t="n">
        <x:v>4</x:v>
      </x:c>
      <x:c r="I48" s="36" t="n">
        <x:v>29.9</x:v>
      </x:c>
      <x:c r="J48" s="38" t="n">
        <x:v>0.08</x:v>
      </x:c>
      <x:c r="K48" s="36" t="n">
        <x:v>27.51</x:v>
      </x:c>
      <x:c r="L48" s="36" t="n">
        <x:v>110.04</x:v>
      </x:c>
    </x:row>
    <x:row r="49">
      <x:c r="A49" s="34" t="n">
        <x:v>48</x:v>
      </x:c>
      <x:c r="B49" s="34" t="n">
        <x:v>27</x:v>
      </x:c>
      <x:c r="C49" s="34" t="n">
        <x:v>19</x:v>
      </x:c>
      <x:c r="D49" t="str">
        <x:v>Monitor LED 21.5"</x:v>
      </x:c>
      <x:c r="E49" t="str">
        <x:v>Monitores</x:v>
      </x:c>
      <x:c r="F49" s="34" t="n">
        <x:v>8</x:v>
      </x:c>
      <x:c r="G49" t="str">
        <x:v>Brasil Monitores</x:v>
      </x:c>
      <x:c r="H49" s="34" t="n">
        <x:v>1</x:v>
      </x:c>
      <x:c r="I49" s="36" t="n">
        <x:v>679.9</x:v>
      </x:c>
      <x:c r="J49" s="38" t="n">
        <x:v>0</x:v>
      </x:c>
      <x:c r="K49" s="36" t="n">
        <x:v>679.9</x:v>
      </x:c>
      <x:c r="L49" s="36" t="n">
        <x:v>679.9</x:v>
      </x:c>
    </x:row>
    <x:row r="50">
      <x:c r="A50" s="34" t="n">
        <x:v>49</x:v>
      </x:c>
      <x:c r="B50" s="34" t="n">
        <x:v>27</x:v>
      </x:c>
      <x:c r="C50" s="34" t="n">
        <x:v>11</x:v>
      </x:c>
      <x:c r="D50" t="str">
        <x:v>SSD NVMe 500GB</x:v>
      </x:c>
      <x:c r="E50" t="str">
        <x:v>Armazenamento</x:v>
      </x:c>
      <x:c r="F50" s="34" t="n">
        <x:v>5</x:v>
      </x:c>
      <x:c r="G50" t="str">
        <x:v>FastHardware</x:v>
      </x:c>
      <x:c r="H50" s="34" t="n">
        <x:v>2</x:v>
      </x:c>
      <x:c r="I50" s="36" t="n">
        <x:v>329.9</x:v>
      </x:c>
      <x:c r="J50" s="38" t="n">
        <x:v>0</x:v>
      </x:c>
      <x:c r="K50" s="36" t="n">
        <x:v>329.9</x:v>
      </x:c>
      <x:c r="L50" s="36" t="n">
        <x:v>659.8</x:v>
      </x:c>
    </x:row>
    <x:row r="51">
      <x:c r="A51" s="34" t="n">
        <x:v>50</x:v>
      </x:c>
      <x:c r="B51" s="34" t="n">
        <x:v>28</x:v>
      </x:c>
      <x:c r="C51" s="34" t="n">
        <x:v>3</x:v>
      </x:c>
      <x:c r="D51" t="str">
        <x:v>Headset Gamer P2</x:v>
      </x:c>
      <x:c r="E51" t="str">
        <x:v>Periféricos</x:v>
      </x:c>
      <x:c r="F51" s="34" t="n">
        <x:v>5</x:v>
      </x:c>
      <x:c r="G51" t="str">
        <x:v>FastHardware</x:v>
      </x:c>
      <x:c r="H51" s="34" t="n">
        <x:v>1</x:v>
      </x:c>
      <x:c r="I51" s="36" t="n">
        <x:v>159.9</x:v>
      </x:c>
      <x:c r="J51" s="38" t="n">
        <x:v>0</x:v>
      </x:c>
      <x:c r="K51" s="36" t="n">
        <x:v>159.9</x:v>
      </x:c>
      <x:c r="L51" s="36" t="n">
        <x:v>159.9</x:v>
      </x:c>
    </x:row>
    <x:row r="52">
      <x:c r="A52" s="34" t="n">
        <x:v>51</x:v>
      </x:c>
      <x:c r="B52" s="34" t="n">
        <x:v>29</x:v>
      </x:c>
      <x:c r="C52" s="34" t="n">
        <x:v>18</x:v>
      </x:c>
      <x:c r="D52" t="str">
        <x:v>Cooler para Processador</x:v>
      </x:c>
      <x:c r="E52" t="str">
        <x:v>Componentes</x:v>
      </x:c>
      <x:c r="F52" s="34" t="n">
        <x:v>2</x:v>
      </x:c>
      <x:c r="G52" t="str">
        <x:v>Mega Componentes</x:v>
      </x:c>
      <x:c r="H52" s="34" t="n">
        <x:v>1</x:v>
      </x:c>
      <x:c r="I52" s="36" t="n">
        <x:v>99.9</x:v>
      </x:c>
      <x:c r="J52" s="38" t="n">
        <x:v>0.05</x:v>
      </x:c>
      <x:c r="K52" s="36" t="n">
        <x:v>94.91</x:v>
      </x:c>
      <x:c r="L52" s="36" t="n">
        <x:v>94.91</x:v>
      </x:c>
    </x:row>
    <x:row r="53">
      <x:c r="A53" s="34" t="n">
        <x:v>52</x:v>
      </x:c>
      <x:c r="B53" s="34" t="n">
        <x:v>30</x:v>
      </x:c>
      <x:c r="C53" s="34" t="n">
        <x:v>13</x:v>
      </x:c>
      <x:c r="D53" t="str">
        <x:v>Memória RAM 8GB DDR4</x:v>
      </x:c>
      <x:c r="E53" t="str">
        <x:v>Componentes</x:v>
      </x:c>
      <x:c r="F53" s="34" t="n">
        <x:v>2</x:v>
      </x:c>
      <x:c r="G53" t="str">
        <x:v>Mega Componentes</x:v>
      </x:c>
      <x:c r="H53" s="34" t="n">
        <x:v>1</x:v>
      </x:c>
      <x:c r="I53" s="36" t="n">
        <x:v>179.9</x:v>
      </x:c>
      <x:c r="J53" s="38" t="n">
        <x:v>0.03</x:v>
      </x:c>
      <x:c r="K53" s="36" t="n">
        <x:v>174.5</x:v>
      </x:c>
      <x:c r="L53" s="36" t="n">
        <x:v>174.5</x:v>
      </x:c>
    </x:row>
    <x:row r="54">
      <x:c r="A54" s="34" t="n">
        <x:v>53</x:v>
      </x:c>
      <x:c r="B54" s="34" t="n">
        <x:v>31</x:v>
      </x:c>
      <x:c r="C54" s="34" t="n">
        <x:v>7</x:v>
      </x:c>
      <x:c r="D54" t="str">
        <x:v>Adaptador USB-C HDMI</x:v>
      </x:c>
      <x:c r="E54" t="str">
        <x:v>Acessórios</x:v>
      </x:c>
      <x:c r="F54" s="34" t="n">
        <x:v>3</x:v>
      </x:c>
      <x:c r="G54" t="str">
        <x:v>Prime Eletrônicos</x:v>
      </x:c>
      <x:c r="H54" s="34" t="n">
        <x:v>1</x:v>
      </x:c>
      <x:c r="I54" s="36" t="n">
        <x:v>119.9</x:v>
      </x:c>
      <x:c r="J54" s="38" t="n">
        <x:v>0</x:v>
      </x:c>
      <x:c r="K54" s="36" t="n">
        <x:v>119.9</x:v>
      </x:c>
      <x:c r="L54" s="36" t="n">
        <x:v>119.9</x:v>
      </x:c>
    </x:row>
    <x:row r="55">
      <x:c r="A55" s="34" t="n">
        <x:v>54</x:v>
      </x:c>
      <x:c r="B55" s="34" t="n">
        <x:v>32</x:v>
      </x:c>
      <x:c r="C55" s="34" t="n">
        <x:v>2</x:v>
      </x:c>
      <x:c r="D55" t="str">
        <x:v>Teclado Membrana ABNT2</x:v>
      </x:c>
      <x:c r="E55" t="str">
        <x:v>Periféricos</x:v>
      </x:c>
      <x:c r="F55" s="34" t="n">
        <x:v>1</x:v>
      </x:c>
      <x:c r="G55" t="str">
        <x:v>TechDistribuidora Brasil</x:v>
      </x:c>
      <x:c r="H55" s="34" t="n">
        <x:v>1</x:v>
      </x:c>
      <x:c r="I55" s="36" t="n">
        <x:v>89.9</x:v>
      </x:c>
      <x:c r="J55" s="38" t="n">
        <x:v>0</x:v>
      </x:c>
      <x:c r="K55" s="36" t="n">
        <x:v>89.9</x:v>
      </x:c>
      <x:c r="L55" s="36" t="n">
        <x:v>89.9</x:v>
      </x:c>
    </x:row>
    <x:row r="56">
      <x:c r="A56" s="34" t="n">
        <x:v>55</x:v>
      </x:c>
      <x:c r="B56" s="34" t="n">
        <x:v>33</x:v>
      </x:c>
      <x:c r="C56" s="34" t="n">
        <x:v>1</x:v>
      </x:c>
      <x:c r="D56" t="str">
        <x:v>Mouse Óptico USB</x:v>
      </x:c>
      <x:c r="E56" t="str">
        <x:v>Periféricos</x:v>
      </x:c>
      <x:c r="F56" s="34" t="n">
        <x:v>1</x:v>
      </x:c>
      <x:c r="G56" t="str">
        <x:v>TechDistribuidora Brasil</x:v>
      </x:c>
      <x:c r="H56" s="34" t="n">
        <x:v>1</x:v>
      </x:c>
      <x:c r="I56" s="36" t="n">
        <x:v>49.9</x:v>
      </x:c>
      <x:c r="J56" s="38" t="n">
        <x:v>0</x:v>
      </x:c>
      <x:c r="K56" s="36" t="n">
        <x:v>49.9</x:v>
      </x:c>
      <x:c r="L56" s="36" t="n">
        <x:v>49.9</x:v>
      </x:c>
    </x:row>
    <x:row r="57">
      <x:c r="A57" s="34" t="n">
        <x:v>56</x:v>
      </x:c>
      <x:c r="B57" s="34" t="n">
        <x:v>34</x:v>
      </x:c>
      <x:c r="C57" s="34" t="n">
        <x:v>28</x:v>
      </x:c>
      <x:c r="D57" t="str">
        <x:v>Repetidor Wi-Fi</x:v>
      </x:c>
      <x:c r="E57" t="str">
        <x:v>Rede</x:v>
      </x:c>
      <x:c r="F57" s="34" t="n">
        <x:v>6</x:v>
      </x:c>
      <x:c r="G57" t="str">
        <x:v>Connect Rede</x:v>
      </x:c>
      <x:c r="H57" s="34" t="n">
        <x:v>1</x:v>
      </x:c>
      <x:c r="I57" s="36" t="n">
        <x:v>139.9</x:v>
      </x:c>
      <x:c r="J57" s="38" t="n">
        <x:v>0</x:v>
      </x:c>
      <x:c r="K57" s="36" t="n">
        <x:v>139.9</x:v>
      </x:c>
      <x:c r="L57" s="36" t="n">
        <x:v>139.9</x:v>
      </x:c>
    </x:row>
    <x:row r="58">
      <x:c r="A58" s="34" t="n">
        <x:v>57</x:v>
      </x:c>
      <x:c r="B58" s="34" t="n">
        <x:v>35</x:v>
      </x:c>
      <x:c r="C58" s="34" t="n">
        <x:v>6</x:v>
      </x:c>
      <x:c r="D58" t="str">
        <x:v>Cabo HDMI 2m</x:v>
      </x:c>
      <x:c r="E58" t="str">
        <x:v>Acessórios</x:v>
      </x:c>
      <x:c r="F58" s="34" t="n">
        <x:v>3</x:v>
      </x:c>
      <x:c r="G58" t="str">
        <x:v>Prime Eletrônicos</x:v>
      </x:c>
      <x:c r="H58" s="34" t="n">
        <x:v>1</x:v>
      </x:c>
      <x:c r="I58" s="36" t="n">
        <x:v>29.9</x:v>
      </x:c>
      <x:c r="J58" s="38" t="n">
        <x:v>0.03</x:v>
      </x:c>
      <x:c r="K58" s="36" t="n">
        <x:v>29</x:v>
      </x:c>
      <x:c r="L58" s="36" t="n">
        <x:v>29</x:v>
      </x:c>
    </x:row>
    <x:row r="59">
      <x:c r="A59" s="34" t="n">
        <x:v>58</x:v>
      </x:c>
      <x:c r="B59" s="34" t="n">
        <x:v>36</x:v>
      </x:c>
      <x:c r="C59" s="34" t="n">
        <x:v>28</x:v>
      </x:c>
      <x:c r="D59" t="str">
        <x:v>Repetidor Wi-Fi</x:v>
      </x:c>
      <x:c r="E59" t="str">
        <x:v>Rede</x:v>
      </x:c>
      <x:c r="F59" s="34" t="n">
        <x:v>6</x:v>
      </x:c>
      <x:c r="G59" t="str">
        <x:v>Connect Rede</x:v>
      </x:c>
      <x:c r="H59" s="34" t="n">
        <x:v>1</x:v>
      </x:c>
      <x:c r="I59" s="36" t="n">
        <x:v>139.9</x:v>
      </x:c>
      <x:c r="J59" s="38" t="n">
        <x:v>0.05</x:v>
      </x:c>
      <x:c r="K59" s="36" t="n">
        <x:v>132.91</x:v>
      </x:c>
      <x:c r="L59" s="36" t="n">
        <x:v>132.91</x:v>
      </x:c>
    </x:row>
    <x:row r="60">
      <x:c r="A60" s="34" t="n">
        <x:v>59</x:v>
      </x:c>
      <x:c r="B60" s="34" t="n">
        <x:v>37</x:v>
      </x:c>
      <x:c r="C60" s="34" t="n">
        <x:v>8</x:v>
      </x:c>
      <x:c r="D60" t="str">
        <x:v>Suporte Articulado para Monitor</x:v>
      </x:c>
      <x:c r="E60" t="str">
        <x:v>Acessórios</x:v>
      </x:c>
      <x:c r="F60" s="34" t="n">
        <x:v>7</x:v>
      </x:c>
      <x:c r="G60" t="str">
        <x:v>OfficeTech Supply</x:v>
      </x:c>
      <x:c r="H60" s="34" t="n">
        <x:v>5</x:v>
      </x:c>
      <x:c r="I60" s="36" t="n">
        <x:v>149.9</x:v>
      </x:c>
      <x:c r="J60" s="38" t="n">
        <x:v>0</x:v>
      </x:c>
      <x:c r="K60" s="36" t="n">
        <x:v>149.9</x:v>
      </x:c>
      <x:c r="L60" s="36" t="n">
        <x:v>749.5</x:v>
      </x:c>
    </x:row>
    <x:row r="61">
      <x:c r="A61" s="34" t="n">
        <x:v>60</x:v>
      </x:c>
      <x:c r="B61" s="34" t="n">
        <x:v>37</x:v>
      </x:c>
      <x:c r="C61" s="34" t="n">
        <x:v>11</x:v>
      </x:c>
      <x:c r="D61" t="str">
        <x:v>SSD NVMe 500GB</x:v>
      </x:c>
      <x:c r="E61" t="str">
        <x:v>Armazenamento</x:v>
      </x:c>
      <x:c r="F61" s="34" t="n">
        <x:v>5</x:v>
      </x:c>
      <x:c r="G61" t="str">
        <x:v>FastHardware</x:v>
      </x:c>
      <x:c r="H61" s="34" t="n">
        <x:v>1</x:v>
      </x:c>
      <x:c r="I61" s="36" t="n">
        <x:v>329.9</x:v>
      </x:c>
      <x:c r="J61" s="38" t="n">
        <x:v>0</x:v>
      </x:c>
      <x:c r="K61" s="36" t="n">
        <x:v>329.9</x:v>
      </x:c>
      <x:c r="L61" s="36" t="n">
        <x:v>329.9</x:v>
      </x:c>
    </x:row>
    <x:row r="62">
      <x:c r="A62" s="34" t="n">
        <x:v>61</x:v>
      </x:c>
      <x:c r="B62" s="34" t="n">
        <x:v>38</x:v>
      </x:c>
      <x:c r="C62" s="34" t="n">
        <x:v>1</x:v>
      </x:c>
      <x:c r="D62" t="str">
        <x:v>Mouse Óptico USB</x:v>
      </x:c>
      <x:c r="E62" t="str">
        <x:v>Periféricos</x:v>
      </x:c>
      <x:c r="F62" s="34" t="n">
        <x:v>1</x:v>
      </x:c>
      <x:c r="G62" t="str">
        <x:v>TechDistribuidora Brasil</x:v>
      </x:c>
      <x:c r="H62" s="34" t="n">
        <x:v>1</x:v>
      </x:c>
      <x:c r="I62" s="36" t="n">
        <x:v>49.9</x:v>
      </x:c>
      <x:c r="J62" s="38" t="n">
        <x:v>0.08</x:v>
      </x:c>
      <x:c r="K62" s="36" t="n">
        <x:v>45.91</x:v>
      </x:c>
      <x:c r="L62" s="36" t="n">
        <x:v>45.91</x:v>
      </x:c>
    </x:row>
    <x:row r="63">
      <x:c r="A63" s="34" t="n">
        <x:v>62</x:v>
      </x:c>
      <x:c r="B63" s="34" t="n">
        <x:v>39</x:v>
      </x:c>
      <x:c r="C63" s="34" t="n">
        <x:v>7</x:v>
      </x:c>
      <x:c r="D63" t="str">
        <x:v>Adaptador USB-C HDMI</x:v>
      </x:c>
      <x:c r="E63" t="str">
        <x:v>Acessórios</x:v>
      </x:c>
      <x:c r="F63" s="34" t="n">
        <x:v>3</x:v>
      </x:c>
      <x:c r="G63" t="str">
        <x:v>Prime Eletrônicos</x:v>
      </x:c>
      <x:c r="H63" s="34" t="n">
        <x:v>2</x:v>
      </x:c>
      <x:c r="I63" s="36" t="n">
        <x:v>119.9</x:v>
      </x:c>
      <x:c r="J63" s="38" t="n">
        <x:v>0.03</x:v>
      </x:c>
      <x:c r="K63" s="36" t="n">
        <x:v>116.3</x:v>
      </x:c>
      <x:c r="L63" s="36" t="n">
        <x:v>232.6</x:v>
      </x:c>
    </x:row>
    <x:row r="64">
      <x:c r="A64" s="34" t="n">
        <x:v>63</x:v>
      </x:c>
      <x:c r="B64" s="34" t="n">
        <x:v>39</x:v>
      </x:c>
      <x:c r="C64" s="34" t="n">
        <x:v>12</x:v>
      </x:c>
      <x:c r="D64" t="str">
        <x:v>HD Externo 1TB</x:v>
      </x:c>
      <x:c r="E64" t="str">
        <x:v>Armazenamento</x:v>
      </x:c>
      <x:c r="F64" s="34" t="n">
        <x:v>4</x:v>
      </x:c>
      <x:c r="G64" t="str">
        <x:v>InfoMax Atacado</x:v>
      </x:c>
      <x:c r="H64" s="34" t="n">
        <x:v>3</x:v>
      </x:c>
      <x:c r="I64" s="36" t="n">
        <x:v>369.9</x:v>
      </x:c>
      <x:c r="J64" s="38" t="n">
        <x:v>0</x:v>
      </x:c>
      <x:c r="K64" s="36" t="n">
        <x:v>369.9</x:v>
      </x:c>
      <x:c r="L64" s="36" t="n">
        <x:v>1109.7</x:v>
      </x:c>
    </x:row>
    <x:row r="65">
      <x:c r="A65" s="34" t="n">
        <x:v>64</x:v>
      </x:c>
      <x:c r="B65" s="34" t="n">
        <x:v>40</x:v>
      </x:c>
      <x:c r="C65" s="34" t="n">
        <x:v>17</x:v>
      </x:c>
      <x:c r="D65" t="str">
        <x:v>Processador Ryzen 5</x:v>
      </x:c>
      <x:c r="E65" t="str">
        <x:v>Componentes</x:v>
      </x:c>
      <x:c r="F65" s="34" t="n">
        <x:v>5</x:v>
      </x:c>
      <x:c r="G65" t="str">
        <x:v>FastHardware</x:v>
      </x:c>
      <x:c r="H65" s="34" t="n">
        <x:v>1</x:v>
      </x:c>
      <x:c r="I65" s="36" t="n">
        <x:v>799.9</x:v>
      </x:c>
      <x:c r="J65" s="38" t="n">
        <x:v>0</x:v>
      </x:c>
      <x:c r="K65" s="36" t="n">
        <x:v>799.9</x:v>
      </x:c>
      <x:c r="L65" s="36" t="n">
        <x:v>799.9</x:v>
      </x:c>
    </x:row>
    <x:row r="66">
      <x:c r="A66" s="34" t="n">
        <x:v>65</x:v>
      </x:c>
      <x:c r="B66" s="34" t="n">
        <x:v>41</x:v>
      </x:c>
      <x:c r="C66" s="34" t="n">
        <x:v>20</x:v>
      </x:c>
      <x:c r="D66" t="str">
        <x:v>Monitor IPS 24"</x:v>
      </x:c>
      <x:c r="E66" t="str">
        <x:v>Monitores</x:v>
      </x:c>
      <x:c r="F66" s="34" t="n">
        <x:v>8</x:v>
      </x:c>
      <x:c r="G66" t="str">
        <x:v>Brasil Monitores</x:v>
      </x:c>
      <x:c r="H66" s="34" t="n">
        <x:v>1</x:v>
      </x:c>
      <x:c r="I66" s="36" t="n">
        <x:v>899.9</x:v>
      </x:c>
      <x:c r="J66" s="38" t="n">
        <x:v>0</x:v>
      </x:c>
      <x:c r="K66" s="36" t="n">
        <x:v>899.9</x:v>
      </x:c>
      <x:c r="L66" s="36" t="n">
        <x:v>899.9</x:v>
      </x:c>
    </x:row>
    <x:row r="67">
      <x:c r="A67" s="34" t="n">
        <x:v>66</x:v>
      </x:c>
      <x:c r="B67" s="34" t="n">
        <x:v>42</x:v>
      </x:c>
      <x:c r="C67" s="34" t="n">
        <x:v>27</x:v>
      </x:c>
      <x:c r="D67" t="str">
        <x:v>Placa de Rede PCIe</x:v>
      </x:c>
      <x:c r="E67" t="str">
        <x:v>Rede</x:v>
      </x:c>
      <x:c r="F67" s="34" t="n">
        <x:v>6</x:v>
      </x:c>
      <x:c r="G67" t="str">
        <x:v>Connect Rede</x:v>
      </x:c>
      <x:c r="H67" s="34" t="n">
        <x:v>1</x:v>
      </x:c>
      <x:c r="I67" s="36" t="n">
        <x:v>79.9</x:v>
      </x:c>
      <x:c r="J67" s="38" t="n">
        <x:v>0.03</x:v>
      </x:c>
      <x:c r="K67" s="36" t="n">
        <x:v>77.5</x:v>
      </x:c>
      <x:c r="L67" s="36" t="n">
        <x:v>77.5</x:v>
      </x:c>
    </x:row>
    <x:row r="68">
      <x:c r="A68" s="34" t="n">
        <x:v>67</x:v>
      </x:c>
      <x:c r="B68" s="34" t="n">
        <x:v>42</x:v>
      </x:c>
      <x:c r="C68" s="34" t="n">
        <x:v>6</x:v>
      </x:c>
      <x:c r="D68" t="str">
        <x:v>Cabo HDMI 2m</x:v>
      </x:c>
      <x:c r="E68" t="str">
        <x:v>Acessórios</x:v>
      </x:c>
      <x:c r="F68" s="34" t="n">
        <x:v>3</x:v>
      </x:c>
      <x:c r="G68" t="str">
        <x:v>Prime Eletrônicos</x:v>
      </x:c>
      <x:c r="H68" s="34" t="n">
        <x:v>4</x:v>
      </x:c>
      <x:c r="I68" s="36" t="n">
        <x:v>29.9</x:v>
      </x:c>
      <x:c r="J68" s="38" t="n">
        <x:v>0</x:v>
      </x:c>
      <x:c r="K68" s="36" t="n">
        <x:v>29.9</x:v>
      </x:c>
      <x:c r="L68" s="36" t="n">
        <x:v>119.6</x:v>
      </x:c>
    </x:row>
    <x:row r="69">
      <x:c r="A69" s="34" t="n">
        <x:v>68</x:v>
      </x:c>
      <x:c r="B69" s="34" t="n">
        <x:v>43</x:v>
      </x:c>
      <x:c r="C69" s="34" t="n">
        <x:v>2</x:v>
      </x:c>
      <x:c r="D69" t="str">
        <x:v>Teclado Membrana ABNT2</x:v>
      </x:c>
      <x:c r="E69" t="str">
        <x:v>Periféricos</x:v>
      </x:c>
      <x:c r="F69" s="34" t="n">
        <x:v>1</x:v>
      </x:c>
      <x:c r="G69" t="str">
        <x:v>TechDistribuidora Brasil</x:v>
      </x:c>
      <x:c r="H69" s="34" t="n">
        <x:v>1</x:v>
      </x:c>
      <x:c r="I69" s="36" t="n">
        <x:v>89.9</x:v>
      </x:c>
      <x:c r="J69" s="38" t="n">
        <x:v>0.03</x:v>
      </x:c>
      <x:c r="K69" s="36" t="n">
        <x:v>87.2</x:v>
      </x:c>
      <x:c r="L69" s="36" t="n">
        <x:v>87.2</x:v>
      </x:c>
    </x:row>
    <x:row r="70">
      <x:c r="A70" s="34" t="n">
        <x:v>69</x:v>
      </x:c>
      <x:c r="B70" s="34" t="n">
        <x:v>44</x:v>
      </x:c>
      <x:c r="C70" s="34" t="n">
        <x:v>4</x:v>
      </x:c>
      <x:c r="D70" t="str">
        <x:v>Webcam Full HD</x:v>
      </x:c>
      <x:c r="E70" t="str">
        <x:v>Periféricos</x:v>
      </x:c>
      <x:c r="F70" s="34" t="n">
        <x:v>3</x:v>
      </x:c>
      <x:c r="G70" t="str">
        <x:v>Prime Eletrônicos</x:v>
      </x:c>
      <x:c r="H70" s="34" t="n">
        <x:v>1</x:v>
      </x:c>
      <x:c r="I70" s="36" t="n">
        <x:v>199.9</x:v>
      </x:c>
      <x:c r="J70" s="38" t="n">
        <x:v>0</x:v>
      </x:c>
      <x:c r="K70" s="36" t="n">
        <x:v>199.9</x:v>
      </x:c>
      <x:c r="L70" s="36" t="n">
        <x:v>199.9</x:v>
      </x:c>
    </x:row>
    <x:row r="71">
      <x:c r="A71" s="34" t="n">
        <x:v>70</x:v>
      </x:c>
      <x:c r="B71" s="34" t="n">
        <x:v>45</x:v>
      </x:c>
      <x:c r="C71" s="34" t="n">
        <x:v>10</x:v>
      </x:c>
      <x:c r="D71" t="str">
        <x:v>SSD 480GB SATA</x:v>
      </x:c>
      <x:c r="E71" t="str">
        <x:v>Armazenamento</x:v>
      </x:c>
      <x:c r="F71" s="34" t="n">
        <x:v>2</x:v>
      </x:c>
      <x:c r="G71" t="str">
        <x:v>Mega Componentes</x:v>
      </x:c>
      <x:c r="H71" s="34" t="n">
        <x:v>1</x:v>
      </x:c>
      <x:c r="I71" s="36" t="n">
        <x:v>259.9</x:v>
      </x:c>
      <x:c r="J71" s="38" t="n">
        <x:v>0.05</x:v>
      </x:c>
      <x:c r="K71" s="36" t="n">
        <x:v>246.9</x:v>
      </x:c>
      <x:c r="L71" s="36" t="n">
        <x:v>246.9</x:v>
      </x:c>
    </x:row>
    <x:row r="72">
      <x:c r="A72" s="34" t="n">
        <x:v>71</x:v>
      </x:c>
      <x:c r="B72" s="34" t="n">
        <x:v>45</x:v>
      </x:c>
      <x:c r="C72" s="34" t="n">
        <x:v>18</x:v>
      </x:c>
      <x:c r="D72" t="str">
        <x:v>Cooler para Processador</x:v>
      </x:c>
      <x:c r="E72" t="str">
        <x:v>Componentes</x:v>
      </x:c>
      <x:c r="F72" s="34" t="n">
        <x:v>2</x:v>
      </x:c>
      <x:c r="G72" t="str">
        <x:v>Mega Componentes</x:v>
      </x:c>
      <x:c r="H72" s="34" t="n">
        <x:v>1</x:v>
      </x:c>
      <x:c r="I72" s="36" t="n">
        <x:v>99.9</x:v>
      </x:c>
      <x:c r="J72" s="38" t="n">
        <x:v>0.1</x:v>
      </x:c>
      <x:c r="K72" s="36" t="n">
        <x:v>89.91</x:v>
      </x:c>
      <x:c r="L72" s="36" t="n">
        <x:v>89.91</x:v>
      </x:c>
    </x:row>
    <x:row r="73">
      <x:c r="A73" s="34" t="n">
        <x:v>72</x:v>
      </x:c>
      <x:c r="B73" s="34" t="n">
        <x:v>46</x:v>
      </x:c>
      <x:c r="C73" s="34" t="n">
        <x:v>15</x:v>
      </x:c>
      <x:c r="D73" t="str">
        <x:v>Fonte 500W 80 Plus</x:v>
      </x:c>
      <x:c r="E73" t="str">
        <x:v>Componentes</x:v>
      </x:c>
      <x:c r="F73" s="34" t="n">
        <x:v>5</x:v>
      </x:c>
      <x:c r="G73" t="str">
        <x:v>FastHardware</x:v>
      </x:c>
      <x:c r="H73" s="34" t="n">
        <x:v>1</x:v>
      </x:c>
      <x:c r="I73" s="36" t="n">
        <x:v>289.9</x:v>
      </x:c>
      <x:c r="J73" s="38" t="n">
        <x:v>0</x:v>
      </x:c>
      <x:c r="K73" s="36" t="n">
        <x:v>289.9</x:v>
      </x:c>
      <x:c r="L73" s="36" t="n">
        <x:v>289.9</x:v>
      </x:c>
    </x:row>
    <x:row r="74">
      <x:c r="A74" s="34" t="n">
        <x:v>73</x:v>
      </x:c>
      <x:c r="B74" s="34" t="n">
        <x:v>47</x:v>
      </x:c>
      <x:c r="C74" s="34" t="n">
        <x:v>4</x:v>
      </x:c>
      <x:c r="D74" t="str">
        <x:v>Webcam Full HD</x:v>
      </x:c>
      <x:c r="E74" t="str">
        <x:v>Periféricos</x:v>
      </x:c>
      <x:c r="F74" s="34" t="n">
        <x:v>3</x:v>
      </x:c>
      <x:c r="G74" t="str">
        <x:v>Prime Eletrônicos</x:v>
      </x:c>
      <x:c r="H74" s="34" t="n">
        <x:v>1</x:v>
      </x:c>
      <x:c r="I74" s="36" t="n">
        <x:v>199.9</x:v>
      </x:c>
      <x:c r="J74" s="38" t="n">
        <x:v>0.08</x:v>
      </x:c>
      <x:c r="K74" s="36" t="n">
        <x:v>183.91</x:v>
      </x:c>
      <x:c r="L74" s="36" t="n">
        <x:v>183.91</x:v>
      </x:c>
    </x:row>
    <x:row r="75">
      <x:c r="A75" s="34" t="n">
        <x:v>74</x:v>
      </x:c>
      <x:c r="B75" s="34" t="n">
        <x:v>47</x:v>
      </x:c>
      <x:c r="C75" s="34" t="n">
        <x:v>15</x:v>
      </x:c>
      <x:c r="D75" t="str">
        <x:v>Fonte 500W 80 Plus</x:v>
      </x:c>
      <x:c r="E75" t="str">
        <x:v>Componentes</x:v>
      </x:c>
      <x:c r="F75" s="34" t="n">
        <x:v>5</x:v>
      </x:c>
      <x:c r="G75" t="str">
        <x:v>FastHardware</x:v>
      </x:c>
      <x:c r="H75" s="34" t="n">
        <x:v>1</x:v>
      </x:c>
      <x:c r="I75" s="36" t="n">
        <x:v>289.9</x:v>
      </x:c>
      <x:c r="J75" s="38" t="n">
        <x:v>0</x:v>
      </x:c>
      <x:c r="K75" s="36" t="n">
        <x:v>289.9</x:v>
      </x:c>
      <x:c r="L75" s="36" t="n">
        <x:v>289.9</x:v>
      </x:c>
    </x:row>
    <x:row r="76">
      <x:c r="A76" s="34" t="n">
        <x:v>75</x:v>
      </x:c>
      <x:c r="B76" s="34" t="n">
        <x:v>47</x:v>
      </x:c>
      <x:c r="C76" s="34" t="n">
        <x:v>11</x:v>
      </x:c>
      <x:c r="D76" t="str">
        <x:v>SSD NVMe 500GB</x:v>
      </x:c>
      <x:c r="E76" t="str">
        <x:v>Armazenamento</x:v>
      </x:c>
      <x:c r="F76" s="34" t="n">
        <x:v>5</x:v>
      </x:c>
      <x:c r="G76" t="str">
        <x:v>FastHardware</x:v>
      </x:c>
      <x:c r="H76" s="34" t="n">
        <x:v>1</x:v>
      </x:c>
      <x:c r="I76" s="36" t="n">
        <x:v>329.9</x:v>
      </x:c>
      <x:c r="J76" s="38" t="n">
        <x:v>0.1</x:v>
      </x:c>
      <x:c r="K76" s="36" t="n">
        <x:v>296.91</x:v>
      </x:c>
      <x:c r="L76" s="36" t="n">
        <x:v>296.91</x:v>
      </x:c>
    </x:row>
    <x:row r="77">
      <x:c r="A77" s="34" t="n">
        <x:v>76</x:v>
      </x:c>
      <x:c r="B77" s="34" t="n">
        <x:v>48</x:v>
      </x:c>
      <x:c r="C77" s="34" t="n">
        <x:v>5</x:v>
      </x:c>
      <x:c r="D77" t="str">
        <x:v>Mousepad Grande</x:v>
      </x:c>
      <x:c r="E77" t="str">
        <x:v>Acessórios</x:v>
      </x:c>
      <x:c r="F77" s="34" t="n">
        <x:v>3</x:v>
      </x:c>
      <x:c r="G77" t="str">
        <x:v>Prime Eletrônicos</x:v>
      </x:c>
      <x:c r="H77" s="34" t="n">
        <x:v>1</x:v>
      </x:c>
      <x:c r="I77" s="36" t="n">
        <x:v>39.9</x:v>
      </x:c>
      <x:c r="J77" s="38" t="n">
        <x:v>0</x:v>
      </x:c>
      <x:c r="K77" s="36" t="n">
        <x:v>39.9</x:v>
      </x:c>
      <x:c r="L77" s="36" t="n">
        <x:v>39.9</x:v>
      </x:c>
    </x:row>
    <x:row r="78">
      <x:c r="A78" s="34" t="n">
        <x:v>77</x:v>
      </x:c>
      <x:c r="B78" s="34" t="n">
        <x:v>48</x:v>
      </x:c>
      <x:c r="C78" s="34" t="n">
        <x:v>19</x:v>
      </x:c>
      <x:c r="D78" t="str">
        <x:v>Monitor LED 21.5"</x:v>
      </x:c>
      <x:c r="E78" t="str">
        <x:v>Monitores</x:v>
      </x:c>
      <x:c r="F78" s="34" t="n">
        <x:v>8</x:v>
      </x:c>
      <x:c r="G78" t="str">
        <x:v>Brasil Monitores</x:v>
      </x:c>
      <x:c r="H78" s="34" t="n">
        <x:v>1</x:v>
      </x:c>
      <x:c r="I78" s="36" t="n">
        <x:v>679.9</x:v>
      </x:c>
      <x:c r="J78" s="38" t="n">
        <x:v>0</x:v>
      </x:c>
      <x:c r="K78" s="36" t="n">
        <x:v>679.9</x:v>
      </x:c>
      <x:c r="L78" s="36" t="n">
        <x:v>679.9</x:v>
      </x:c>
    </x:row>
    <x:row r="79">
      <x:c r="A79" s="34" t="n">
        <x:v>78</x:v>
      </x:c>
      <x:c r="B79" s="34" t="n">
        <x:v>48</x:v>
      </x:c>
      <x:c r="C79" s="34" t="n">
        <x:v>27</x:v>
      </x:c>
      <x:c r="D79" t="str">
        <x:v>Placa de Rede PCIe</x:v>
      </x:c>
      <x:c r="E79" t="str">
        <x:v>Rede</x:v>
      </x:c>
      <x:c r="F79" s="34" t="n">
        <x:v>6</x:v>
      </x:c>
      <x:c r="G79" t="str">
        <x:v>Connect Rede</x:v>
      </x:c>
      <x:c r="H79" s="34" t="n">
        <x:v>3</x:v>
      </x:c>
      <x:c r="I79" s="36" t="n">
        <x:v>79.9</x:v>
      </x:c>
      <x:c r="J79" s="38" t="n">
        <x:v>0</x:v>
      </x:c>
      <x:c r="K79" s="36" t="n">
        <x:v>79.9</x:v>
      </x:c>
      <x:c r="L79" s="36" t="n">
        <x:v>239.7</x:v>
      </x:c>
    </x:row>
    <x:row r="80">
      <x:c r="A80" s="34" t="n">
        <x:v>79</x:v>
      </x:c>
      <x:c r="B80" s="34" t="n">
        <x:v>49</x:v>
      </x:c>
      <x:c r="C80" s="34" t="n">
        <x:v>17</x:v>
      </x:c>
      <x:c r="D80" t="str">
        <x:v>Processador Ryzen 5</x:v>
      </x:c>
      <x:c r="E80" t="str">
        <x:v>Componentes</x:v>
      </x:c>
      <x:c r="F80" s="34" t="n">
        <x:v>5</x:v>
      </x:c>
      <x:c r="G80" t="str">
        <x:v>FastHardware</x:v>
      </x:c>
      <x:c r="H80" s="34" t="n">
        <x:v>2</x:v>
      </x:c>
      <x:c r="I80" s="36" t="n">
        <x:v>799.9</x:v>
      </x:c>
      <x:c r="J80" s="38" t="n">
        <x:v>0.05</x:v>
      </x:c>
      <x:c r="K80" s="36" t="n">
        <x:v>759.9</x:v>
      </x:c>
      <x:c r="L80" s="36" t="n">
        <x:v>1519.8</x:v>
      </x:c>
    </x:row>
    <x:row r="81">
      <x:c r="A81" s="34" t="n">
        <x:v>80</x:v>
      </x:c>
      <x:c r="B81" s="34" t="n">
        <x:v>50</x:v>
      </x:c>
      <x:c r="C81" s="34" t="n">
        <x:v>2</x:v>
      </x:c>
      <x:c r="D81" t="str">
        <x:v>Teclado Membrana ABNT2</x:v>
      </x:c>
      <x:c r="E81" t="str">
        <x:v>Periféricos</x:v>
      </x:c>
      <x:c r="F81" s="34" t="n">
        <x:v>1</x:v>
      </x:c>
      <x:c r="G81" t="str">
        <x:v>TechDistribuidora Brasil</x:v>
      </x:c>
      <x:c r="H81" s="34" t="n">
        <x:v>1</x:v>
      </x:c>
      <x:c r="I81" s="36" t="n">
        <x:v>89.9</x:v>
      </x:c>
      <x:c r="J81" s="38" t="n">
        <x:v>0</x:v>
      </x:c>
      <x:c r="K81" s="36" t="n">
        <x:v>89.9</x:v>
      </x:c>
      <x:c r="L81" s="36" t="n">
        <x:v>89.9</x:v>
      </x:c>
    </x:row>
    <x:row r="82">
      <x:c r="A82" s="34" t="n">
        <x:v>81</x:v>
      </x:c>
      <x:c r="B82" s="34" t="n">
        <x:v>51</x:v>
      </x:c>
      <x:c r="C82" s="34" t="n">
        <x:v>14</x:v>
      </x:c>
      <x:c r="D82" t="str">
        <x:v>Memória RAM 16GB DDR4</x:v>
      </x:c>
      <x:c r="E82" t="str">
        <x:v>Componentes</x:v>
      </x:c>
      <x:c r="F82" s="34" t="n">
        <x:v>2</x:v>
      </x:c>
      <x:c r="G82" t="str">
        <x:v>Mega Componentes</x:v>
      </x:c>
      <x:c r="H82" s="34" t="n">
        <x:v>1</x:v>
      </x:c>
      <x:c r="I82" s="36" t="n">
        <x:v>319.9</x:v>
      </x:c>
      <x:c r="J82" s="38" t="n">
        <x:v>0.03</x:v>
      </x:c>
      <x:c r="K82" s="36" t="n">
        <x:v>310.3</x:v>
      </x:c>
      <x:c r="L82" s="36" t="n">
        <x:v>310.3</x:v>
      </x:c>
    </x:row>
    <x:row r="83">
      <x:c r="A83" s="34" t="n">
        <x:v>82</x:v>
      </x:c>
      <x:c r="B83" s="34" t="n">
        <x:v>52</x:v>
      </x:c>
      <x:c r="C83" s="34" t="n">
        <x:v>13</x:v>
      </x:c>
      <x:c r="D83" t="str">
        <x:v>Memória RAM 8GB DDR4</x:v>
      </x:c>
      <x:c r="E83" t="str">
        <x:v>Componentes</x:v>
      </x:c>
      <x:c r="F83" s="34" t="n">
        <x:v>2</x:v>
      </x:c>
      <x:c r="G83" t="str">
        <x:v>Mega Componentes</x:v>
      </x:c>
      <x:c r="H83" s="34" t="n">
        <x:v>1</x:v>
      </x:c>
      <x:c r="I83" s="36" t="n">
        <x:v>179.9</x:v>
      </x:c>
      <x:c r="J83" s="38" t="n">
        <x:v>0.03</x:v>
      </x:c>
      <x:c r="K83" s="36" t="n">
        <x:v>174.5</x:v>
      </x:c>
      <x:c r="L83" s="36" t="n">
        <x:v>174.5</x:v>
      </x:c>
    </x:row>
    <x:row r="84">
      <x:c r="A84" s="34" t="n">
        <x:v>83</x:v>
      </x:c>
      <x:c r="B84" s="34" t="n">
        <x:v>53</x:v>
      </x:c>
      <x:c r="C84" s="34" t="n">
        <x:v>7</x:v>
      </x:c>
      <x:c r="D84" t="str">
        <x:v>Adaptador USB-C HDMI</x:v>
      </x:c>
      <x:c r="E84" t="str">
        <x:v>Acessórios</x:v>
      </x:c>
      <x:c r="F84" s="34" t="n">
        <x:v>3</x:v>
      </x:c>
      <x:c r="G84" t="str">
        <x:v>Prime Eletrônicos</x:v>
      </x:c>
      <x:c r="H84" s="34" t="n">
        <x:v>3</x:v>
      </x:c>
      <x:c r="I84" s="36" t="n">
        <x:v>119.9</x:v>
      </x:c>
      <x:c r="J84" s="38" t="n">
        <x:v>0.03</x:v>
      </x:c>
      <x:c r="K84" s="36" t="n">
        <x:v>116.3</x:v>
      </x:c>
      <x:c r="L84" s="36" t="n">
        <x:v>348.9</x:v>
      </x:c>
    </x:row>
    <x:row r="85">
      <x:c r="A85" s="34" t="n">
        <x:v>84</x:v>
      </x:c>
      <x:c r="B85" s="34" t="n">
        <x:v>53</x:v>
      </x:c>
      <x:c r="C85" s="34" t="n">
        <x:v>8</x:v>
      </x:c>
      <x:c r="D85" t="str">
        <x:v>Suporte Articulado para Monitor</x:v>
      </x:c>
      <x:c r="E85" t="str">
        <x:v>Acessórios</x:v>
      </x:c>
      <x:c r="F85" s="34" t="n">
        <x:v>7</x:v>
      </x:c>
      <x:c r="G85" t="str">
        <x:v>OfficeTech Supply</x:v>
      </x:c>
      <x:c r="H85" s="34" t="n">
        <x:v>3</x:v>
      </x:c>
      <x:c r="I85" s="36" t="n">
        <x:v>149.9</x:v>
      </x:c>
      <x:c r="J85" s="38" t="n">
        <x:v>0.05</x:v>
      </x:c>
      <x:c r="K85" s="36" t="n">
        <x:v>142.41</x:v>
      </x:c>
      <x:c r="L85" s="36" t="n">
        <x:v>427.23</x:v>
      </x:c>
    </x:row>
    <x:row r="86">
      <x:c r="A86" s="34" t="n">
        <x:v>85</x:v>
      </x:c>
      <x:c r="B86" s="34" t="n">
        <x:v>54</x:v>
      </x:c>
      <x:c r="C86" s="34" t="n">
        <x:v>6</x:v>
      </x:c>
      <x:c r="D86" t="str">
        <x:v>Cabo HDMI 2m</x:v>
      </x:c>
      <x:c r="E86" t="str">
        <x:v>Acessórios</x:v>
      </x:c>
      <x:c r="F86" s="34" t="n">
        <x:v>3</x:v>
      </x:c>
      <x:c r="G86" t="str">
        <x:v>Prime Eletrônicos</x:v>
      </x:c>
      <x:c r="H86" s="34" t="n">
        <x:v>1</x:v>
      </x:c>
      <x:c r="I86" s="36" t="n">
        <x:v>29.9</x:v>
      </x:c>
      <x:c r="J86" s="38" t="n">
        <x:v>0</x:v>
      </x:c>
      <x:c r="K86" s="36" t="n">
        <x:v>29.9</x:v>
      </x:c>
      <x:c r="L86" s="36" t="n">
        <x:v>29.9</x:v>
      </x:c>
    </x:row>
    <x:row r="87">
      <x:c r="A87" s="34" t="n">
        <x:v>86</x:v>
      </x:c>
      <x:c r="B87" s="34" t="n">
        <x:v>55</x:v>
      </x:c>
      <x:c r="C87" s="34" t="n">
        <x:v>4</x:v>
      </x:c>
      <x:c r="D87" t="str">
        <x:v>Webcam Full HD</x:v>
      </x:c>
      <x:c r="E87" t="str">
        <x:v>Periféricos</x:v>
      </x:c>
      <x:c r="F87" s="34" t="n">
        <x:v>3</x:v>
      </x:c>
      <x:c r="G87" t="str">
        <x:v>Prime Eletrônicos</x:v>
      </x:c>
      <x:c r="H87" s="34" t="n">
        <x:v>2</x:v>
      </x:c>
      <x:c r="I87" s="36" t="n">
        <x:v>199.9</x:v>
      </x:c>
      <x:c r="J87" s="38" t="n">
        <x:v>0</x:v>
      </x:c>
      <x:c r="K87" s="36" t="n">
        <x:v>199.9</x:v>
      </x:c>
      <x:c r="L87" s="36" t="n">
        <x:v>399.8</x:v>
      </x:c>
    </x:row>
    <x:row r="88">
      <x:c r="A88" s="34" t="n">
        <x:v>87</x:v>
      </x:c>
      <x:c r="B88" s="34" t="n">
        <x:v>56</x:v>
      </x:c>
      <x:c r="C88" s="34" t="n">
        <x:v>6</x:v>
      </x:c>
      <x:c r="D88" t="str">
        <x:v>Cabo HDMI 2m</x:v>
      </x:c>
      <x:c r="E88" t="str">
        <x:v>Acessórios</x:v>
      </x:c>
      <x:c r="F88" s="34" t="n">
        <x:v>3</x:v>
      </x:c>
      <x:c r="G88" t="str">
        <x:v>Prime Eletrônicos</x:v>
      </x:c>
      <x:c r="H88" s="34" t="n">
        <x:v>1</x:v>
      </x:c>
      <x:c r="I88" s="36" t="n">
        <x:v>29.9</x:v>
      </x:c>
      <x:c r="J88" s="38" t="n">
        <x:v>0</x:v>
      </x:c>
      <x:c r="K88" s="36" t="n">
        <x:v>29.9</x:v>
      </x:c>
      <x:c r="L88" s="36" t="n">
        <x:v>29.9</x:v>
      </x:c>
    </x:row>
    <x:row r="89">
      <x:c r="A89" s="34" t="n">
        <x:v>88</x:v>
      </x:c>
      <x:c r="B89" s="34" t="n">
        <x:v>57</x:v>
      </x:c>
      <x:c r="C89" s="34" t="n">
        <x:v>28</x:v>
      </x:c>
      <x:c r="D89" t="str">
        <x:v>Repetidor Wi-Fi</x:v>
      </x:c>
      <x:c r="E89" t="str">
        <x:v>Rede</x:v>
      </x:c>
      <x:c r="F89" s="34" t="n">
        <x:v>6</x:v>
      </x:c>
      <x:c r="G89" t="str">
        <x:v>Connect Rede</x:v>
      </x:c>
      <x:c r="H89" s="34" t="n">
        <x:v>1</x:v>
      </x:c>
      <x:c r="I89" s="36" t="n">
        <x:v>139.9</x:v>
      </x:c>
      <x:c r="J89" s="38" t="n">
        <x:v>0</x:v>
      </x:c>
      <x:c r="K89" s="36" t="n">
        <x:v>139.9</x:v>
      </x:c>
      <x:c r="L89" s="36" t="n">
        <x:v>139.9</x:v>
      </x:c>
    </x:row>
    <x:row r="90">
      <x:c r="A90" s="34" t="n">
        <x:v>89</x:v>
      </x:c>
      <x:c r="B90" s="34" t="n">
        <x:v>58</x:v>
      </x:c>
      <x:c r="C90" s="34" t="n">
        <x:v>25</x:v>
      </x:c>
      <x:c r="D90" t="str">
        <x:v>Roteador Wi-Fi AC1200</x:v>
      </x:c>
      <x:c r="E90" t="str">
        <x:v>Rede</x:v>
      </x:c>
      <x:c r="F90" s="34" t="n">
        <x:v>6</x:v>
      </x:c>
      <x:c r="G90" t="str">
        <x:v>Connect Rede</x:v>
      </x:c>
      <x:c r="H90" s="34" t="n">
        <x:v>1</x:v>
      </x:c>
      <x:c r="I90" s="36" t="n">
        <x:v>249.9</x:v>
      </x:c>
      <x:c r="J90" s="38" t="n">
        <x:v>0</x:v>
      </x:c>
      <x:c r="K90" s="36" t="n">
        <x:v>249.9</x:v>
      </x:c>
      <x:c r="L90" s="36" t="n">
        <x:v>249.9</x:v>
      </x:c>
    </x:row>
    <x:row r="91">
      <x:c r="A91" s="34" t="n">
        <x:v>90</x:v>
      </x:c>
      <x:c r="B91" s="34" t="n">
        <x:v>58</x:v>
      </x:c>
      <x:c r="C91" s="34" t="n">
        <x:v>10</x:v>
      </x:c>
      <x:c r="D91" t="str">
        <x:v>SSD 480GB SATA</x:v>
      </x:c>
      <x:c r="E91" t="str">
        <x:v>Armazenamento</x:v>
      </x:c>
      <x:c r="F91" s="34" t="n">
        <x:v>2</x:v>
      </x:c>
      <x:c r="G91" t="str">
        <x:v>Mega Componentes</x:v>
      </x:c>
      <x:c r="H91" s="34" t="n">
        <x:v>1</x:v>
      </x:c>
      <x:c r="I91" s="36" t="n">
        <x:v>259.9</x:v>
      </x:c>
      <x:c r="J91" s="38" t="n">
        <x:v>0.08</x:v>
      </x:c>
      <x:c r="K91" s="36" t="n">
        <x:v>239.11</x:v>
      </x:c>
      <x:c r="L91" s="36" t="n">
        <x:v>239.11</x:v>
      </x:c>
    </x:row>
    <x:row r="92">
      <x:c r="A92" s="34" t="n">
        <x:v>91</x:v>
      </x:c>
      <x:c r="B92" s="34" t="n">
        <x:v>59</x:v>
      </x:c>
      <x:c r="C92" s="34" t="n">
        <x:v>28</x:v>
      </x:c>
      <x:c r="D92" t="str">
        <x:v>Repetidor Wi-Fi</x:v>
      </x:c>
      <x:c r="E92" t="str">
        <x:v>Rede</x:v>
      </x:c>
      <x:c r="F92" s="34" t="n">
        <x:v>6</x:v>
      </x:c>
      <x:c r="G92" t="str">
        <x:v>Connect Rede</x:v>
      </x:c>
      <x:c r="H92" s="34" t="n">
        <x:v>1</x:v>
      </x:c>
      <x:c r="I92" s="36" t="n">
        <x:v>139.9</x:v>
      </x:c>
      <x:c r="J92" s="38" t="n">
        <x:v>0.1</x:v>
      </x:c>
      <x:c r="K92" s="36" t="n">
        <x:v>125.91</x:v>
      </x:c>
      <x:c r="L92" s="36" t="n">
        <x:v>125.91</x:v>
      </x:c>
    </x:row>
    <x:row r="93">
      <x:c r="A93" s="34" t="n">
        <x:v>92</x:v>
      </x:c>
      <x:c r="B93" s="34" t="n">
        <x:v>60</x:v>
      </x:c>
      <x:c r="C93" s="34" t="n">
        <x:v>8</x:v>
      </x:c>
      <x:c r="D93" t="str">
        <x:v>Suporte Articulado para Monitor</x:v>
      </x:c>
      <x:c r="E93" t="str">
        <x:v>Acessórios</x:v>
      </x:c>
      <x:c r="F93" s="34" t="n">
        <x:v>7</x:v>
      </x:c>
      <x:c r="G93" t="str">
        <x:v>OfficeTech Supply</x:v>
      </x:c>
      <x:c r="H93" s="34" t="n">
        <x:v>1</x:v>
      </x:c>
      <x:c r="I93" s="36" t="n">
        <x:v>149.9</x:v>
      </x:c>
      <x:c r="J93" s="38" t="n">
        <x:v>0</x:v>
      </x:c>
      <x:c r="K93" s="36" t="n">
        <x:v>149.9</x:v>
      </x:c>
      <x:c r="L93" s="36" t="n">
        <x:v>149.9</x:v>
      </x:c>
    </x:row>
    <x:row r="94">
      <x:c r="A94" s="34" t="n">
        <x:v>93</x:v>
      </x:c>
      <x:c r="B94" s="34" t="n">
        <x:v>60</x:v>
      </x:c>
      <x:c r="C94" s="34" t="n">
        <x:v>2</x:v>
      </x:c>
      <x:c r="D94" t="str">
        <x:v>Teclado Membrana ABNT2</x:v>
      </x:c>
      <x:c r="E94" t="str">
        <x:v>Periféricos</x:v>
      </x:c>
      <x:c r="F94" s="34" t="n">
        <x:v>1</x:v>
      </x:c>
      <x:c r="G94" t="str">
        <x:v>TechDistribuidora Brasil</x:v>
      </x:c>
      <x:c r="H94" s="34" t="n">
        <x:v>1</x:v>
      </x:c>
      <x:c r="I94" s="36" t="n">
        <x:v>89.9</x:v>
      </x:c>
      <x:c r="J94" s="38" t="n">
        <x:v>0</x:v>
      </x:c>
      <x:c r="K94" s="36" t="n">
        <x:v>89.9</x:v>
      </x:c>
      <x:c r="L94" s="36" t="n">
        <x:v>89.9</x:v>
      </x:c>
    </x:row>
    <x:row r="95">
      <x:c r="A95" s="34" t="n">
        <x:v>94</x:v>
      </x:c>
      <x:c r="B95" s="34" t="n">
        <x:v>61</x:v>
      </x:c>
      <x:c r="C95" s="34" t="n">
        <x:v>14</x:v>
      </x:c>
      <x:c r="D95" t="str">
        <x:v>Memória RAM 16GB DDR4</x:v>
      </x:c>
      <x:c r="E95" t="str">
        <x:v>Componentes</x:v>
      </x:c>
      <x:c r="F95" s="34" t="n">
        <x:v>2</x:v>
      </x:c>
      <x:c r="G95" t="str">
        <x:v>Mega Componentes</x:v>
      </x:c>
      <x:c r="H95" s="34" t="n">
        <x:v>1</x:v>
      </x:c>
      <x:c r="I95" s="36" t="n">
        <x:v>319.9</x:v>
      </x:c>
      <x:c r="J95" s="38" t="n">
        <x:v>0</x:v>
      </x:c>
      <x:c r="K95" s="36" t="n">
        <x:v>319.9</x:v>
      </x:c>
      <x:c r="L95" s="36" t="n">
        <x:v>319.9</x:v>
      </x:c>
    </x:row>
    <x:row r="96">
      <x:c r="A96" s="34" t="n">
        <x:v>95</x:v>
      </x:c>
      <x:c r="B96" s="34" t="n">
        <x:v>62</x:v>
      </x:c>
      <x:c r="C96" s="34" t="n">
        <x:v>13</x:v>
      </x:c>
      <x:c r="D96" t="str">
        <x:v>Memória RAM 8GB DDR4</x:v>
      </x:c>
      <x:c r="E96" t="str">
        <x:v>Componentes</x:v>
      </x:c>
      <x:c r="F96" s="34" t="n">
        <x:v>2</x:v>
      </x:c>
      <x:c r="G96" t="str">
        <x:v>Mega Componentes</x:v>
      </x:c>
      <x:c r="H96" s="34" t="n">
        <x:v>1</x:v>
      </x:c>
      <x:c r="I96" s="36" t="n">
        <x:v>179.9</x:v>
      </x:c>
      <x:c r="J96" s="38" t="n">
        <x:v>0.05</x:v>
      </x:c>
      <x:c r="K96" s="36" t="n">
        <x:v>170.91</x:v>
      </x:c>
      <x:c r="L96" s="36" t="n">
        <x:v>170.91</x:v>
      </x:c>
    </x:row>
    <x:row r="97">
      <x:c r="A97" s="34" t="n">
        <x:v>96</x:v>
      </x:c>
      <x:c r="B97" s="34" t="n">
        <x:v>63</x:v>
      </x:c>
      <x:c r="C97" s="34" t="n">
        <x:v>26</x:v>
      </x:c>
      <x:c r="D97" t="str">
        <x:v>Switch 8 Portas Gigabit</x:v>
      </x:c>
      <x:c r="E97" t="str">
        <x:v>Rede</x:v>
      </x:c>
      <x:c r="F97" s="34" t="n">
        <x:v>6</x:v>
      </x:c>
      <x:c r="G97" t="str">
        <x:v>Connect Rede</x:v>
      </x:c>
      <x:c r="H97" s="34" t="n">
        <x:v>2</x:v>
      </x:c>
      <x:c r="I97" s="36" t="n">
        <x:v>189.9</x:v>
      </x:c>
      <x:c r="J97" s="38" t="n">
        <x:v>0</x:v>
      </x:c>
      <x:c r="K97" s="36" t="n">
        <x:v>189.9</x:v>
      </x:c>
      <x:c r="L97" s="36" t="n">
        <x:v>379.8</x:v>
      </x:c>
    </x:row>
    <x:row r="98">
      <x:c r="A98" s="34" t="n">
        <x:v>97</x:v>
      </x:c>
      <x:c r="B98" s="34" t="n">
        <x:v>63</x:v>
      </x:c>
      <x:c r="C98" s="34" t="n">
        <x:v>6</x:v>
      </x:c>
      <x:c r="D98" t="str">
        <x:v>Cabo HDMI 2m</x:v>
      </x:c>
      <x:c r="E98" t="str">
        <x:v>Acessórios</x:v>
      </x:c>
      <x:c r="F98" s="34" t="n">
        <x:v>3</x:v>
      </x:c>
      <x:c r="G98" t="str">
        <x:v>Prime Eletrônicos</x:v>
      </x:c>
      <x:c r="H98" s="34" t="n">
        <x:v>1</x:v>
      </x:c>
      <x:c r="I98" s="36" t="n">
        <x:v>29.9</x:v>
      </x:c>
      <x:c r="J98" s="38" t="n">
        <x:v>0</x:v>
      </x:c>
      <x:c r="K98" s="36" t="n">
        <x:v>29.9</x:v>
      </x:c>
      <x:c r="L98" s="36" t="n">
        <x:v>29.9</x:v>
      </x:c>
    </x:row>
    <x:row r="99">
      <x:c r="A99" s="34" t="n">
        <x:v>98</x:v>
      </x:c>
      <x:c r="B99" s="34" t="n">
        <x:v>64</x:v>
      </x:c>
      <x:c r="C99" s="34" t="n">
        <x:v>25</x:v>
      </x:c>
      <x:c r="D99" t="str">
        <x:v>Roteador Wi-Fi AC1200</x:v>
      </x:c>
      <x:c r="E99" t="str">
        <x:v>Rede</x:v>
      </x:c>
      <x:c r="F99" s="34" t="n">
        <x:v>6</x:v>
      </x:c>
      <x:c r="G99" t="str">
        <x:v>Connect Rede</x:v>
      </x:c>
      <x:c r="H99" s="34" t="n">
        <x:v>3</x:v>
      </x:c>
      <x:c r="I99" s="36" t="n">
        <x:v>249.9</x:v>
      </x:c>
      <x:c r="J99" s="38" t="n">
        <x:v>0</x:v>
      </x:c>
      <x:c r="K99" s="36" t="n">
        <x:v>249.9</x:v>
      </x:c>
      <x:c r="L99" s="36" t="n">
        <x:v>749.7</x:v>
      </x:c>
    </x:row>
    <x:row r="100">
      <x:c r="A100" s="34" t="n">
        <x:v>99</x:v>
      </x:c>
      <x:c r="B100" s="34" t="n">
        <x:v>65</x:v>
      </x:c>
      <x:c r="C100" s="34" t="n">
        <x:v>30</x:v>
      </x:c>
      <x:c r="D100" t="str">
        <x:v>No-break 600VA</x:v>
      </x:c>
      <x:c r="E100" t="str">
        <x:v>Office</x:v>
      </x:c>
      <x:c r="F100" s="34" t="n">
        <x:v>7</x:v>
      </x:c>
      <x:c r="G100" t="str">
        <x:v>OfficeTech Supply</x:v>
      </x:c>
      <x:c r="H100" s="34" t="n">
        <x:v>3</x:v>
      </x:c>
      <x:c r="I100" s="36" t="n">
        <x:v>429.9</x:v>
      </x:c>
      <x:c r="J100" s="38" t="n">
        <x:v>0.03</x:v>
      </x:c>
      <x:c r="K100" s="36" t="n">
        <x:v>417</x:v>
      </x:c>
      <x:c r="L100" s="36" t="n">
        <x:v>1251</x:v>
      </x:c>
    </x:row>
    <x:row r="101">
      <x:c r="A101" s="34" t="n">
        <x:v>100</x:v>
      </x:c>
      <x:c r="B101" s="34" t="n">
        <x:v>66</x:v>
      </x:c>
      <x:c r="C101" s="34" t="n">
        <x:v>2</x:v>
      </x:c>
      <x:c r="D101" t="str">
        <x:v>Teclado Membrana ABNT2</x:v>
      </x:c>
      <x:c r="E101" t="str">
        <x:v>Periféricos</x:v>
      </x:c>
      <x:c r="F101" s="34" t="n">
        <x:v>1</x:v>
      </x:c>
      <x:c r="G101" t="str">
        <x:v>TechDistribuidora Brasil</x:v>
      </x:c>
      <x:c r="H101" s="34" t="n">
        <x:v>2</x:v>
      </x:c>
      <x:c r="I101" s="36" t="n">
        <x:v>89.9</x:v>
      </x:c>
      <x:c r="J101" s="38" t="n">
        <x:v>0.03</x:v>
      </x:c>
      <x:c r="K101" s="36" t="n">
        <x:v>87.2</x:v>
      </x:c>
      <x:c r="L101" s="36" t="n">
        <x:v>174.4</x:v>
      </x:c>
    </x:row>
    <x:row r="102">
      <x:c r="A102" s="34" t="n">
        <x:v>101</x:v>
      </x:c>
      <x:c r="B102" s="34" t="n">
        <x:v>66</x:v>
      </x:c>
      <x:c r="C102" s="34" t="n">
        <x:v>26</x:v>
      </x:c>
      <x:c r="D102" t="str">
        <x:v>Switch 8 Portas Gigabit</x:v>
      </x:c>
      <x:c r="E102" t="str">
        <x:v>Rede</x:v>
      </x:c>
      <x:c r="F102" s="34" t="n">
        <x:v>6</x:v>
      </x:c>
      <x:c r="G102" t="str">
        <x:v>Connect Rede</x:v>
      </x:c>
      <x:c r="H102" s="34" t="n">
        <x:v>1</x:v>
      </x:c>
      <x:c r="I102" s="36" t="n">
        <x:v>189.9</x:v>
      </x:c>
      <x:c r="J102" s="38" t="n">
        <x:v>0</x:v>
      </x:c>
      <x:c r="K102" s="36" t="n">
        <x:v>189.9</x:v>
      </x:c>
      <x:c r="L102" s="36" t="n">
        <x:v>189.9</x:v>
      </x:c>
    </x:row>
    <x:row r="103">
      <x:c r="A103" s="34" t="n">
        <x:v>102</x:v>
      </x:c>
      <x:c r="B103" s="34" t="n">
        <x:v>67</x:v>
      </x:c>
      <x:c r="C103" s="34" t="n">
        <x:v>28</x:v>
      </x:c>
      <x:c r="D103" t="str">
        <x:v>Repetidor Wi-Fi</x:v>
      </x:c>
      <x:c r="E103" t="str">
        <x:v>Rede</x:v>
      </x:c>
      <x:c r="F103" s="34" t="n">
        <x:v>6</x:v>
      </x:c>
      <x:c r="G103" t="str">
        <x:v>Connect Rede</x:v>
      </x:c>
      <x:c r="H103" s="34" t="n">
        <x:v>1</x:v>
      </x:c>
      <x:c r="I103" s="36" t="n">
        <x:v>139.9</x:v>
      </x:c>
      <x:c r="J103" s="38" t="n">
        <x:v>0.03</x:v>
      </x:c>
      <x:c r="K103" s="36" t="n">
        <x:v>135.7</x:v>
      </x:c>
      <x:c r="L103" s="36" t="n">
        <x:v>135.7</x:v>
      </x:c>
    </x:row>
    <x:row r="104">
      <x:c r="A104" s="34" t="n">
        <x:v>103</x:v>
      </x:c>
      <x:c r="B104" s="34" t="n">
        <x:v>68</x:v>
      </x:c>
      <x:c r="C104" s="34" t="n">
        <x:v>28</x:v>
      </x:c>
      <x:c r="D104" t="str">
        <x:v>Repetidor Wi-Fi</x:v>
      </x:c>
      <x:c r="E104" t="str">
        <x:v>Rede</x:v>
      </x:c>
      <x:c r="F104" s="34" t="n">
        <x:v>6</x:v>
      </x:c>
      <x:c r="G104" t="str">
        <x:v>Connect Rede</x:v>
      </x:c>
      <x:c r="H104" s="34" t="n">
        <x:v>1</x:v>
      </x:c>
      <x:c r="I104" s="36" t="n">
        <x:v>139.9</x:v>
      </x:c>
      <x:c r="J104" s="38" t="n">
        <x:v>0.08</x:v>
      </x:c>
      <x:c r="K104" s="36" t="n">
        <x:v>128.71</x:v>
      </x:c>
      <x:c r="L104" s="36" t="n">
        <x:v>128.71</x:v>
      </x:c>
    </x:row>
    <x:row r="105">
      <x:c r="A105" s="34" t="n">
        <x:v>104</x:v>
      </x:c>
      <x:c r="B105" s="34" t="n">
        <x:v>69</x:v>
      </x:c>
      <x:c r="C105" s="34" t="n">
        <x:v>2</x:v>
      </x:c>
      <x:c r="D105" t="str">
        <x:v>Teclado Membrana ABNT2</x:v>
      </x:c>
      <x:c r="E105" t="str">
        <x:v>Periféricos</x:v>
      </x:c>
      <x:c r="F105" s="34" t="n">
        <x:v>1</x:v>
      </x:c>
      <x:c r="G105" t="str">
        <x:v>TechDistribuidora Brasil</x:v>
      </x:c>
      <x:c r="H105" s="34" t="n">
        <x:v>1</x:v>
      </x:c>
      <x:c r="I105" s="36" t="n">
        <x:v>89.9</x:v>
      </x:c>
      <x:c r="J105" s="38" t="n">
        <x:v>0</x:v>
      </x:c>
      <x:c r="K105" s="36" t="n">
        <x:v>89.9</x:v>
      </x:c>
      <x:c r="L105" s="36" t="n">
        <x:v>89.9</x:v>
      </x:c>
    </x:row>
    <x:row r="106">
      <x:c r="A106" s="34" t="n">
        <x:v>105</x:v>
      </x:c>
      <x:c r="B106" s="34" t="n">
        <x:v>69</x:v>
      </x:c>
      <x:c r="C106" s="34" t="n">
        <x:v>28</x:v>
      </x:c>
      <x:c r="D106" t="str">
        <x:v>Repetidor Wi-Fi</x:v>
      </x:c>
      <x:c r="E106" t="str">
        <x:v>Rede</x:v>
      </x:c>
      <x:c r="F106" s="34" t="n">
        <x:v>6</x:v>
      </x:c>
      <x:c r="G106" t="str">
        <x:v>Connect Rede</x:v>
      </x:c>
      <x:c r="H106" s="34" t="n">
        <x:v>1</x:v>
      </x:c>
      <x:c r="I106" s="36" t="n">
        <x:v>139.9</x:v>
      </x:c>
      <x:c r="J106" s="38" t="n">
        <x:v>0.08</x:v>
      </x:c>
      <x:c r="K106" s="36" t="n">
        <x:v>128.71</x:v>
      </x:c>
      <x:c r="L106" s="36" t="n">
        <x:v>128.71</x:v>
      </x:c>
    </x:row>
    <x:row r="107">
      <x:c r="A107" s="34" t="n">
        <x:v>106</x:v>
      </x:c>
      <x:c r="B107" s="34" t="n">
        <x:v>69</x:v>
      </x:c>
      <x:c r="C107" s="34" t="n">
        <x:v>20</x:v>
      </x:c>
      <x:c r="D107" t="str">
        <x:v>Monitor IPS 24"</x:v>
      </x:c>
      <x:c r="E107" t="str">
        <x:v>Monitores</x:v>
      </x:c>
      <x:c r="F107" s="34" t="n">
        <x:v>8</x:v>
      </x:c>
      <x:c r="G107" t="str">
        <x:v>Brasil Monitores</x:v>
      </x:c>
      <x:c r="H107" s="34" t="n">
        <x:v>1</x:v>
      </x:c>
      <x:c r="I107" s="36" t="n">
        <x:v>899.9</x:v>
      </x:c>
      <x:c r="J107" s="38" t="n">
        <x:v>0</x:v>
      </x:c>
      <x:c r="K107" s="36" t="n">
        <x:v>899.9</x:v>
      </x:c>
      <x:c r="L107" s="36" t="n">
        <x:v>899.9</x:v>
      </x:c>
    </x:row>
    <x:row r="108">
      <x:c r="A108" s="34" t="n">
        <x:v>107</x:v>
      </x:c>
      <x:c r="B108" s="34" t="n">
        <x:v>70</x:v>
      </x:c>
      <x:c r="C108" s="34" t="n">
        <x:v>8</x:v>
      </x:c>
      <x:c r="D108" t="str">
        <x:v>Suporte Articulado para Monitor</x:v>
      </x:c>
      <x:c r="E108" t="str">
        <x:v>Acessórios</x:v>
      </x:c>
      <x:c r="F108" s="34" t="n">
        <x:v>7</x:v>
      </x:c>
      <x:c r="G108" t="str">
        <x:v>OfficeTech Supply</x:v>
      </x:c>
      <x:c r="H108" s="34" t="n">
        <x:v>4</x:v>
      </x:c>
      <x:c r="I108" s="36" t="n">
        <x:v>149.9</x:v>
      </x:c>
      <x:c r="J108" s="38" t="n">
        <x:v>0.12</x:v>
      </x:c>
      <x:c r="K108" s="36" t="n">
        <x:v>131.91</x:v>
      </x:c>
      <x:c r="L108" s="36" t="n">
        <x:v>527.64</x:v>
      </x:c>
    </x:row>
    <x:row r="109">
      <x:c r="A109" s="34" t="n">
        <x:v>108</x:v>
      </x:c>
      <x:c r="B109" s="34" t="n">
        <x:v>71</x:v>
      </x:c>
      <x:c r="C109" s="34" t="n">
        <x:v>2</x:v>
      </x:c>
      <x:c r="D109" t="str">
        <x:v>Teclado Membrana ABNT2</x:v>
      </x:c>
      <x:c r="E109" t="str">
        <x:v>Periféricos</x:v>
      </x:c>
      <x:c r="F109" s="34" t="n">
        <x:v>1</x:v>
      </x:c>
      <x:c r="G109" t="str">
        <x:v>TechDistribuidora Brasil</x:v>
      </x:c>
      <x:c r="H109" s="34" t="n">
        <x:v>1</x:v>
      </x:c>
      <x:c r="I109" s="36" t="n">
        <x:v>89.9</x:v>
      </x:c>
      <x:c r="J109" s="38" t="n">
        <x:v>0.1</x:v>
      </x:c>
      <x:c r="K109" s="36" t="n">
        <x:v>80.91</x:v>
      </x:c>
      <x:c r="L109" s="36" t="n">
        <x:v>80.91</x:v>
      </x:c>
    </x:row>
    <x:row r="110">
      <x:c r="A110" s="34" t="n">
        <x:v>109</x:v>
      </x:c>
      <x:c r="B110" s="34" t="n">
        <x:v>71</x:v>
      </x:c>
      <x:c r="C110" s="34" t="n">
        <x:v>5</x:v>
      </x:c>
      <x:c r="D110" t="str">
        <x:v>Mousepad Grande</x:v>
      </x:c>
      <x:c r="E110" t="str">
        <x:v>Acessórios</x:v>
      </x:c>
      <x:c r="F110" s="34" t="n">
        <x:v>3</x:v>
      </x:c>
      <x:c r="G110" t="str">
        <x:v>Prime Eletrônicos</x:v>
      </x:c>
      <x:c r="H110" s="34" t="n">
        <x:v>4</x:v>
      </x:c>
      <x:c r="I110" s="36" t="n">
        <x:v>39.9</x:v>
      </x:c>
      <x:c r="J110" s="38" t="n">
        <x:v>0.08</x:v>
      </x:c>
      <x:c r="K110" s="36" t="n">
        <x:v>36.71</x:v>
      </x:c>
      <x:c r="L110" s="36" t="n">
        <x:v>146.84</x:v>
      </x:c>
    </x:row>
    <x:row r="111">
      <x:c r="A111" s="34" t="n">
        <x:v>110</x:v>
      </x:c>
      <x:c r="B111" s="34" t="n">
        <x:v>72</x:v>
      </x:c>
      <x:c r="C111" s="34" t="n">
        <x:v>19</x:v>
      </x:c>
      <x:c r="D111" t="str">
        <x:v>Monitor LED 21.5"</x:v>
      </x:c>
      <x:c r="E111" t="str">
        <x:v>Monitores</x:v>
      </x:c>
      <x:c r="F111" s="34" t="n">
        <x:v>8</x:v>
      </x:c>
      <x:c r="G111" t="str">
        <x:v>Brasil Monitores</x:v>
      </x:c>
      <x:c r="H111" s="34" t="n">
        <x:v>1</x:v>
      </x:c>
      <x:c r="I111" s="36" t="n">
        <x:v>679.9</x:v>
      </x:c>
      <x:c r="J111" s="38" t="n">
        <x:v>0</x:v>
      </x:c>
      <x:c r="K111" s="36" t="n">
        <x:v>679.9</x:v>
      </x:c>
      <x:c r="L111" s="36" t="n">
        <x:v>679.9</x:v>
      </x:c>
    </x:row>
    <x:row r="112">
      <x:c r="A112" s="34" t="n">
        <x:v>111</x:v>
      </x:c>
      <x:c r="B112" s="34" t="n">
        <x:v>73</x:v>
      </x:c>
      <x:c r="C112" s="34" t="n">
        <x:v>1</x:v>
      </x:c>
      <x:c r="D112" t="str">
        <x:v>Mouse Óptico USB</x:v>
      </x:c>
      <x:c r="E112" t="str">
        <x:v>Periféricos</x:v>
      </x:c>
      <x:c r="F112" s="34" t="n">
        <x:v>1</x:v>
      </x:c>
      <x:c r="G112" t="str">
        <x:v>TechDistribuidora Brasil</x:v>
      </x:c>
      <x:c r="H112" s="34" t="n">
        <x:v>2</x:v>
      </x:c>
      <x:c r="I112" s="36" t="n">
        <x:v>49.9</x:v>
      </x:c>
      <x:c r="J112" s="38" t="n">
        <x:v>0</x:v>
      </x:c>
      <x:c r="K112" s="36" t="n">
        <x:v>49.9</x:v>
      </x:c>
      <x:c r="L112" s="36" t="n">
        <x:v>99.8</x:v>
      </x:c>
    </x:row>
    <x:row r="113">
      <x:c r="A113" s="34" t="n">
        <x:v>112</x:v>
      </x:c>
      <x:c r="B113" s="34" t="n">
        <x:v>74</x:v>
      </x:c>
      <x:c r="C113" s="34" t="n">
        <x:v>7</x:v>
      </x:c>
      <x:c r="D113" t="str">
        <x:v>Adaptador USB-C HDMI</x:v>
      </x:c>
      <x:c r="E113" t="str">
        <x:v>Acessórios</x:v>
      </x:c>
      <x:c r="F113" s="34" t="n">
        <x:v>3</x:v>
      </x:c>
      <x:c r="G113" t="str">
        <x:v>Prime Eletrônicos</x:v>
      </x:c>
      <x:c r="H113" s="34" t="n">
        <x:v>1</x:v>
      </x:c>
      <x:c r="I113" s="36" t="n">
        <x:v>119.9</x:v>
      </x:c>
      <x:c r="J113" s="38" t="n">
        <x:v>0</x:v>
      </x:c>
      <x:c r="K113" s="36" t="n">
        <x:v>119.9</x:v>
      </x:c>
      <x:c r="L113" s="36" t="n">
        <x:v>119.9</x:v>
      </x:c>
    </x:row>
    <x:row r="114">
      <x:c r="A114" s="34" t="n">
        <x:v>113</x:v>
      </x:c>
      <x:c r="B114" s="34" t="n">
        <x:v>75</x:v>
      </x:c>
      <x:c r="C114" s="34" t="n">
        <x:v>15</x:v>
      </x:c>
      <x:c r="D114" t="str">
        <x:v>Fonte 500W 80 Plus</x:v>
      </x:c>
      <x:c r="E114" t="str">
        <x:v>Componentes</x:v>
      </x:c>
      <x:c r="F114" s="34" t="n">
        <x:v>5</x:v>
      </x:c>
      <x:c r="G114" t="str">
        <x:v>FastHardware</x:v>
      </x:c>
      <x:c r="H114" s="34" t="n">
        <x:v>1</x:v>
      </x:c>
      <x:c r="I114" s="36" t="n">
        <x:v>289.9</x:v>
      </x:c>
      <x:c r="J114" s="38" t="n">
        <x:v>0</x:v>
      </x:c>
      <x:c r="K114" s="36" t="n">
        <x:v>289.9</x:v>
      </x:c>
      <x:c r="L114" s="36" t="n">
        <x:v>289.9</x:v>
      </x:c>
    </x:row>
    <x:row r="115">
      <x:c r="A115" s="34" t="n">
        <x:v>114</x:v>
      </x:c>
      <x:c r="B115" s="34" t="n">
        <x:v>75</x:v>
      </x:c>
      <x:c r="C115" s="34" t="n">
        <x:v>2</x:v>
      </x:c>
      <x:c r="D115" t="str">
        <x:v>Teclado Membrana ABNT2</x:v>
      </x:c>
      <x:c r="E115" t="str">
        <x:v>Periféricos</x:v>
      </x:c>
      <x:c r="F115" s="34" t="n">
        <x:v>1</x:v>
      </x:c>
      <x:c r="G115" t="str">
        <x:v>TechDistribuidora Brasil</x:v>
      </x:c>
      <x:c r="H115" s="34" t="n">
        <x:v>1</x:v>
      </x:c>
      <x:c r="I115" s="36" t="n">
        <x:v>89.9</x:v>
      </x:c>
      <x:c r="J115" s="38" t="n">
        <x:v>0</x:v>
      </x:c>
      <x:c r="K115" s="36" t="n">
        <x:v>89.9</x:v>
      </x:c>
      <x:c r="L115" s="36" t="n">
        <x:v>89.9</x:v>
      </x:c>
    </x:row>
    <x:row r="116">
      <x:c r="A116" s="34" t="n">
        <x:v>115</x:v>
      </x:c>
      <x:c r="B116" s="34" t="n">
        <x:v>75</x:v>
      </x:c>
      <x:c r="C116" s="34" t="n">
        <x:v>28</x:v>
      </x:c>
      <x:c r="D116" t="str">
        <x:v>Repetidor Wi-Fi</x:v>
      </x:c>
      <x:c r="E116" t="str">
        <x:v>Rede</x:v>
      </x:c>
      <x:c r="F116" s="34" t="n">
        <x:v>6</x:v>
      </x:c>
      <x:c r="G116" t="str">
        <x:v>Connect Rede</x:v>
      </x:c>
      <x:c r="H116" s="34" t="n">
        <x:v>1</x:v>
      </x:c>
      <x:c r="I116" s="36" t="n">
        <x:v>139.9</x:v>
      </x:c>
      <x:c r="J116" s="38" t="n">
        <x:v>0.03</x:v>
      </x:c>
      <x:c r="K116" s="36" t="n">
        <x:v>135.7</x:v>
      </x:c>
      <x:c r="L116" s="36" t="n">
        <x:v>135.7</x:v>
      </x:c>
    </x:row>
    <x:row r="117">
      <x:c r="A117" s="34" t="n">
        <x:v>116</x:v>
      </x:c>
      <x:c r="B117" s="34" t="n">
        <x:v>75</x:v>
      </x:c>
      <x:c r="C117" s="34" t="n">
        <x:v>7</x:v>
      </x:c>
      <x:c r="D117" t="str">
        <x:v>Adaptador USB-C HDMI</x:v>
      </x:c>
      <x:c r="E117" t="str">
        <x:v>Acessórios</x:v>
      </x:c>
      <x:c r="F117" s="34" t="n">
        <x:v>3</x:v>
      </x:c>
      <x:c r="G117" t="str">
        <x:v>Prime Eletrônicos</x:v>
      </x:c>
      <x:c r="H117" s="34" t="n">
        <x:v>1</x:v>
      </x:c>
      <x:c r="I117" s="36" t="n">
        <x:v>119.9</x:v>
      </x:c>
      <x:c r="J117" s="38" t="n">
        <x:v>0.03</x:v>
      </x:c>
      <x:c r="K117" s="36" t="n">
        <x:v>116.3</x:v>
      </x:c>
      <x:c r="L117" s="36" t="n">
        <x:v>116.3</x:v>
      </x:c>
    </x:row>
    <x:row r="118">
      <x:c r="A118" s="34" t="n">
        <x:v>117</x:v>
      </x:c>
      <x:c r="B118" s="34" t="n">
        <x:v>76</x:v>
      </x:c>
      <x:c r="C118" s="34" t="n">
        <x:v>5</x:v>
      </x:c>
      <x:c r="D118" t="str">
        <x:v>Mousepad Grande</x:v>
      </x:c>
      <x:c r="E118" t="str">
        <x:v>Acessórios</x:v>
      </x:c>
      <x:c r="F118" s="34" t="n">
        <x:v>3</x:v>
      </x:c>
      <x:c r="G118" t="str">
        <x:v>Prime Eletrônicos</x:v>
      </x:c>
      <x:c r="H118" s="34" t="n">
        <x:v>2</x:v>
      </x:c>
      <x:c r="I118" s="36" t="n">
        <x:v>39.9</x:v>
      </x:c>
      <x:c r="J118" s="38" t="n">
        <x:v>0.12</x:v>
      </x:c>
      <x:c r="K118" s="36" t="n">
        <x:v>35.11</x:v>
      </x:c>
      <x:c r="L118" s="36" t="n">
        <x:v>70.22</x:v>
      </x:c>
    </x:row>
    <x:row r="119">
      <x:c r="A119" s="34" t="n">
        <x:v>118</x:v>
      </x:c>
      <x:c r="B119" s="34" t="n">
        <x:v>76</x:v>
      </x:c>
      <x:c r="C119" s="34" t="n">
        <x:v>6</x:v>
      </x:c>
      <x:c r="D119" t="str">
        <x:v>Cabo HDMI 2m</x:v>
      </x:c>
      <x:c r="E119" t="str">
        <x:v>Acessórios</x:v>
      </x:c>
      <x:c r="F119" s="34" t="n">
        <x:v>3</x:v>
      </x:c>
      <x:c r="G119" t="str">
        <x:v>Prime Eletrônicos</x:v>
      </x:c>
      <x:c r="H119" s="34" t="n">
        <x:v>2</x:v>
      </x:c>
      <x:c r="I119" s="36" t="n">
        <x:v>29.9</x:v>
      </x:c>
      <x:c r="J119" s="38" t="n">
        <x:v>0.05</x:v>
      </x:c>
      <x:c r="K119" s="36" t="n">
        <x:v>28.4</x:v>
      </x:c>
      <x:c r="L119" s="36" t="n">
        <x:v>56.8</x:v>
      </x:c>
    </x:row>
    <x:row r="120">
      <x:c r="A120" s="34" t="n">
        <x:v>119</x:v>
      </x:c>
      <x:c r="B120" s="34" t="n">
        <x:v>77</x:v>
      </x:c>
      <x:c r="C120" s="34" t="n">
        <x:v>12</x:v>
      </x:c>
      <x:c r="D120" t="str">
        <x:v>HD Externo 1TB</x:v>
      </x:c>
      <x:c r="E120" t="str">
        <x:v>Armazenamento</x:v>
      </x:c>
      <x:c r="F120" s="34" t="n">
        <x:v>4</x:v>
      </x:c>
      <x:c r="G120" t="str">
        <x:v>InfoMax Atacado</x:v>
      </x:c>
      <x:c r="H120" s="34" t="n">
        <x:v>1</x:v>
      </x:c>
      <x:c r="I120" s="36" t="n">
        <x:v>369.9</x:v>
      </x:c>
      <x:c r="J120" s="38" t="n">
        <x:v>0.05</x:v>
      </x:c>
      <x:c r="K120" s="36" t="n">
        <x:v>351.4</x:v>
      </x:c>
      <x:c r="L120" s="36" t="n">
        <x:v>351.4</x:v>
      </x:c>
    </x:row>
    <x:row r="121">
      <x:c r="A121" s="34" t="n">
        <x:v>120</x:v>
      </x:c>
      <x:c r="B121" s="34" t="n">
        <x:v>77</x:v>
      </x:c>
      <x:c r="C121" s="34" t="n">
        <x:v>5</x:v>
      </x:c>
      <x:c r="D121" t="str">
        <x:v>Mousepad Grande</x:v>
      </x:c>
      <x:c r="E121" t="str">
        <x:v>Acessórios</x:v>
      </x:c>
      <x:c r="F121" s="34" t="n">
        <x:v>3</x:v>
      </x:c>
      <x:c r="G121" t="str">
        <x:v>Prime Eletrônicos</x:v>
      </x:c>
      <x:c r="H121" s="34" t="n">
        <x:v>3</x:v>
      </x:c>
      <x:c r="I121" s="36" t="n">
        <x:v>39.9</x:v>
      </x:c>
      <x:c r="J121" s="38" t="n">
        <x:v>0</x:v>
      </x:c>
      <x:c r="K121" s="36" t="n">
        <x:v>39.9</x:v>
      </x:c>
      <x:c r="L121" s="36" t="n">
        <x:v>119.7</x:v>
      </x:c>
    </x:row>
    <x:row r="122">
      <x:c r="A122" s="34" t="n">
        <x:v>121</x:v>
      </x:c>
      <x:c r="B122" s="34" t="n">
        <x:v>78</x:v>
      </x:c>
      <x:c r="C122" s="34" t="n">
        <x:v>28</x:v>
      </x:c>
      <x:c r="D122" t="str">
        <x:v>Repetidor Wi-Fi</x:v>
      </x:c>
      <x:c r="E122" t="str">
        <x:v>Rede</x:v>
      </x:c>
      <x:c r="F122" s="34" t="n">
        <x:v>6</x:v>
      </x:c>
      <x:c r="G122" t="str">
        <x:v>Connect Rede</x:v>
      </x:c>
      <x:c r="H122" s="34" t="n">
        <x:v>1</x:v>
      </x:c>
      <x:c r="I122" s="36" t="n">
        <x:v>139.9</x:v>
      </x:c>
      <x:c r="J122" s="38" t="n">
        <x:v>0.05</x:v>
      </x:c>
      <x:c r="K122" s="36" t="n">
        <x:v>132.91</x:v>
      </x:c>
      <x:c r="L122" s="36" t="n">
        <x:v>132.91</x:v>
      </x:c>
    </x:row>
    <x:row r="123">
      <x:c r="A123" s="34" t="n">
        <x:v>122</x:v>
      </x:c>
      <x:c r="B123" s="34" t="n">
        <x:v>79</x:v>
      </x:c>
      <x:c r="C123" s="34" t="n">
        <x:v>18</x:v>
      </x:c>
      <x:c r="D123" t="str">
        <x:v>Cooler para Processador</x:v>
      </x:c>
      <x:c r="E123" t="str">
        <x:v>Componentes</x:v>
      </x:c>
      <x:c r="F123" s="34" t="n">
        <x:v>2</x:v>
      </x:c>
      <x:c r="G123" t="str">
        <x:v>Mega Componentes</x:v>
      </x:c>
      <x:c r="H123" s="34" t="n">
        <x:v>1</x:v>
      </x:c>
      <x:c r="I123" s="36" t="n">
        <x:v>99.9</x:v>
      </x:c>
      <x:c r="J123" s="38" t="n">
        <x:v>0.05</x:v>
      </x:c>
      <x:c r="K123" s="36" t="n">
        <x:v>94.91</x:v>
      </x:c>
      <x:c r="L123" s="36" t="n">
        <x:v>94.91</x:v>
      </x:c>
    </x:row>
    <x:row r="124">
      <x:c r="A124" s="34" t="n">
        <x:v>123</x:v>
      </x:c>
      <x:c r="B124" s="34" t="n">
        <x:v>79</x:v>
      </x:c>
      <x:c r="C124" s="34" t="n">
        <x:v>17</x:v>
      </x:c>
      <x:c r="D124" t="str">
        <x:v>Processador Ryzen 5</x:v>
      </x:c>
      <x:c r="E124" t="str">
        <x:v>Componentes</x:v>
      </x:c>
      <x:c r="F124" s="34" t="n">
        <x:v>5</x:v>
      </x:c>
      <x:c r="G124" t="str">
        <x:v>FastHardware</x:v>
      </x:c>
      <x:c r="H124" s="34" t="n">
        <x:v>2</x:v>
      </x:c>
      <x:c r="I124" s="36" t="n">
        <x:v>799.9</x:v>
      </x:c>
      <x:c r="J124" s="38" t="n">
        <x:v>0.05</x:v>
      </x:c>
      <x:c r="K124" s="36" t="n">
        <x:v>759.9</x:v>
      </x:c>
      <x:c r="L124" s="36" t="n">
        <x:v>1519.8</x:v>
      </x:c>
    </x:row>
    <x:row r="125">
      <x:c r="A125" s="34" t="n">
        <x:v>124</x:v>
      </x:c>
      <x:c r="B125" s="34" t="n">
        <x:v>79</x:v>
      </x:c>
      <x:c r="C125" s="34" t="n">
        <x:v>9</x:v>
      </x:c>
      <x:c r="D125" t="str">
        <x:v>SSD 240GB SATA</x:v>
      </x:c>
      <x:c r="E125" t="str">
        <x:v>Armazenamento</x:v>
      </x:c>
      <x:c r="F125" s="34" t="n">
        <x:v>2</x:v>
      </x:c>
      <x:c r="G125" t="str">
        <x:v>Mega Componentes</x:v>
      </x:c>
      <x:c r="H125" s="34" t="n">
        <x:v>2</x:v>
      </x:c>
      <x:c r="I125" s="36" t="n">
        <x:v>169.9</x:v>
      </x:c>
      <x:c r="J125" s="38" t="n">
        <x:v>0</x:v>
      </x:c>
      <x:c r="K125" s="36" t="n">
        <x:v>169.9</x:v>
      </x:c>
      <x:c r="L125" s="36" t="n">
        <x:v>339.8</x:v>
      </x:c>
    </x:row>
    <x:row r="126">
      <x:c r="A126" s="34" t="n">
        <x:v>125</x:v>
      </x:c>
      <x:c r="B126" s="34" t="n">
        <x:v>80</x:v>
      </x:c>
      <x:c r="C126" s="34" t="n">
        <x:v>5</x:v>
      </x:c>
      <x:c r="D126" t="str">
        <x:v>Mousepad Grande</x:v>
      </x:c>
      <x:c r="E126" t="str">
        <x:v>Acessórios</x:v>
      </x:c>
      <x:c r="F126" s="34" t="n">
        <x:v>3</x:v>
      </x:c>
      <x:c r="G126" t="str">
        <x:v>Prime Eletrônicos</x:v>
      </x:c>
      <x:c r="H126" s="34" t="n">
        <x:v>2</x:v>
      </x:c>
      <x:c r="I126" s="36" t="n">
        <x:v>39.9</x:v>
      </x:c>
      <x:c r="J126" s="38" t="n">
        <x:v>0</x:v>
      </x:c>
      <x:c r="K126" s="36" t="n">
        <x:v>39.9</x:v>
      </x:c>
      <x:c r="L126" s="36" t="n">
        <x:v>79.8</x:v>
      </x:c>
    </x:row>
    <x:row r="127">
      <x:c r="A127" s="34" t="n">
        <x:v>126</x:v>
      </x:c>
      <x:c r="B127" s="34" t="n">
        <x:v>81</x:v>
      </x:c>
      <x:c r="C127" s="34" t="n">
        <x:v>5</x:v>
      </x:c>
      <x:c r="D127" t="str">
        <x:v>Mousepad Grande</x:v>
      </x:c>
      <x:c r="E127" t="str">
        <x:v>Acessórios</x:v>
      </x:c>
      <x:c r="F127" s="34" t="n">
        <x:v>3</x:v>
      </x:c>
      <x:c r="G127" t="str">
        <x:v>Prime Eletrônicos</x:v>
      </x:c>
      <x:c r="H127" s="34" t="n">
        <x:v>3</x:v>
      </x:c>
      <x:c r="I127" s="36" t="n">
        <x:v>39.9</x:v>
      </x:c>
      <x:c r="J127" s="38" t="n">
        <x:v>0</x:v>
      </x:c>
      <x:c r="K127" s="36" t="n">
        <x:v>39.9</x:v>
      </x:c>
      <x:c r="L127" s="36" t="n">
        <x:v>119.7</x:v>
      </x:c>
    </x:row>
    <x:row r="128">
      <x:c r="A128" s="34" t="n">
        <x:v>127</x:v>
      </x:c>
      <x:c r="B128" s="34" t="n">
        <x:v>81</x:v>
      </x:c>
      <x:c r="C128" s="34" t="n">
        <x:v>2</x:v>
      </x:c>
      <x:c r="D128" t="str">
        <x:v>Teclado Membrana ABNT2</x:v>
      </x:c>
      <x:c r="E128" t="str">
        <x:v>Periféricos</x:v>
      </x:c>
      <x:c r="F128" s="34" t="n">
        <x:v>1</x:v>
      </x:c>
      <x:c r="G128" t="str">
        <x:v>TechDistribuidora Brasil</x:v>
      </x:c>
      <x:c r="H128" s="34" t="n">
        <x:v>1</x:v>
      </x:c>
      <x:c r="I128" s="36" t="n">
        <x:v>89.9</x:v>
      </x:c>
      <x:c r="J128" s="38" t="n">
        <x:v>0</x:v>
      </x:c>
      <x:c r="K128" s="36" t="n">
        <x:v>89.9</x:v>
      </x:c>
      <x:c r="L128" s="36" t="n">
        <x:v>89.9</x:v>
      </x:c>
    </x:row>
    <x:row r="129">
      <x:c r="A129" s="34" t="n">
        <x:v>128</x:v>
      </x:c>
      <x:c r="B129" s="34" t="n">
        <x:v>81</x:v>
      </x:c>
      <x:c r="C129" s="34" t="n">
        <x:v>15</x:v>
      </x:c>
      <x:c r="D129" t="str">
        <x:v>Fonte 500W 80 Plus</x:v>
      </x:c>
      <x:c r="E129" t="str">
        <x:v>Componentes</x:v>
      </x:c>
      <x:c r="F129" s="34" t="n">
        <x:v>5</x:v>
      </x:c>
      <x:c r="G129" t="str">
        <x:v>FastHardware</x:v>
      </x:c>
      <x:c r="H129" s="34" t="n">
        <x:v>1</x:v>
      </x:c>
      <x:c r="I129" s="36" t="n">
        <x:v>289.9</x:v>
      </x:c>
      <x:c r="J129" s="38" t="n">
        <x:v>0</x:v>
      </x:c>
      <x:c r="K129" s="36" t="n">
        <x:v>289.9</x:v>
      </x:c>
      <x:c r="L129" s="36" t="n">
        <x:v>289.9</x:v>
      </x:c>
    </x:row>
    <x:row r="130">
      <x:c r="A130" s="34" t="n">
        <x:v>129</x:v>
      </x:c>
      <x:c r="B130" s="34" t="n">
        <x:v>82</x:v>
      </x:c>
      <x:c r="C130" s="34" t="n">
        <x:v>5</x:v>
      </x:c>
      <x:c r="D130" t="str">
        <x:v>Mousepad Grande</x:v>
      </x:c>
      <x:c r="E130" t="str">
        <x:v>Acessórios</x:v>
      </x:c>
      <x:c r="F130" s="34" t="n">
        <x:v>3</x:v>
      </x:c>
      <x:c r="G130" t="str">
        <x:v>Prime Eletrônicos</x:v>
      </x:c>
      <x:c r="H130" s="34" t="n">
        <x:v>1</x:v>
      </x:c>
      <x:c r="I130" s="36" t="n">
        <x:v>39.9</x:v>
      </x:c>
      <x:c r="J130" s="38" t="n">
        <x:v>0</x:v>
      </x:c>
      <x:c r="K130" s="36" t="n">
        <x:v>39.9</x:v>
      </x:c>
      <x:c r="L130" s="36" t="n">
        <x:v>39.9</x:v>
      </x:c>
    </x:row>
    <x:row r="131">
      <x:c r="A131" s="34" t="n">
        <x:v>130</x:v>
      </x:c>
      <x:c r="B131" s="34" t="n">
        <x:v>82</x:v>
      </x:c>
      <x:c r="C131" s="34" t="n">
        <x:v>2</x:v>
      </x:c>
      <x:c r="D131" t="str">
        <x:v>Teclado Membrana ABNT2</x:v>
      </x:c>
      <x:c r="E131" t="str">
        <x:v>Periféricos</x:v>
      </x:c>
      <x:c r="F131" s="34" t="n">
        <x:v>1</x:v>
      </x:c>
      <x:c r="G131" t="str">
        <x:v>TechDistribuidora Brasil</x:v>
      </x:c>
      <x:c r="H131" s="34" t="n">
        <x:v>1</x:v>
      </x:c>
      <x:c r="I131" s="36" t="n">
        <x:v>89.9</x:v>
      </x:c>
      <x:c r="J131" s="38" t="n">
        <x:v>0.05</x:v>
      </x:c>
      <x:c r="K131" s="36" t="n">
        <x:v>85.41</x:v>
      </x:c>
      <x:c r="L131" s="36" t="n">
        <x:v>85.41</x:v>
      </x:c>
    </x:row>
    <x:row r="132">
      <x:c r="A132" s="34" t="n">
        <x:v>131</x:v>
      </x:c>
      <x:c r="B132" s="34" t="n">
        <x:v>83</x:v>
      </x:c>
      <x:c r="C132" s="34" t="n">
        <x:v>3</x:v>
      </x:c>
      <x:c r="D132" t="str">
        <x:v>Headset Gamer P2</x:v>
      </x:c>
      <x:c r="E132" t="str">
        <x:v>Periféricos</x:v>
      </x:c>
      <x:c r="F132" s="34" t="n">
        <x:v>5</x:v>
      </x:c>
      <x:c r="G132" t="str">
        <x:v>FastHardware</x:v>
      </x:c>
      <x:c r="H132" s="34" t="n">
        <x:v>2</x:v>
      </x:c>
      <x:c r="I132" s="36" t="n">
        <x:v>159.9</x:v>
      </x:c>
      <x:c r="J132" s="38" t="n">
        <x:v>0.08</x:v>
      </x:c>
      <x:c r="K132" s="36" t="n">
        <x:v>147.11</x:v>
      </x:c>
      <x:c r="L132" s="36" t="n">
        <x:v>294.22</x:v>
      </x:c>
    </x:row>
    <x:row r="133">
      <x:c r="A133" s="34" t="n">
        <x:v>132</x:v>
      </x:c>
      <x:c r="B133" s="34" t="n">
        <x:v>83</x:v>
      </x:c>
      <x:c r="C133" s="34" t="n">
        <x:v>14</x:v>
      </x:c>
      <x:c r="D133" t="str">
        <x:v>Memória RAM 16GB DDR4</x:v>
      </x:c>
      <x:c r="E133" t="str">
        <x:v>Componentes</x:v>
      </x:c>
      <x:c r="F133" s="34" t="n">
        <x:v>2</x:v>
      </x:c>
      <x:c r="G133" t="str">
        <x:v>Mega Componentes</x:v>
      </x:c>
      <x:c r="H133" s="34" t="n">
        <x:v>1</x:v>
      </x:c>
      <x:c r="I133" s="36" t="n">
        <x:v>319.9</x:v>
      </x:c>
      <x:c r="J133" s="38" t="n">
        <x:v>0.1</x:v>
      </x:c>
      <x:c r="K133" s="36" t="n">
        <x:v>287.91</x:v>
      </x:c>
      <x:c r="L133" s="36" t="n">
        <x:v>287.91</x:v>
      </x:c>
    </x:row>
    <x:row r="134">
      <x:c r="A134" s="34" t="n">
        <x:v>133</x:v>
      </x:c>
      <x:c r="B134" s="34" t="n">
        <x:v>83</x:v>
      </x:c>
      <x:c r="C134" s="34" t="n">
        <x:v>27</x:v>
      </x:c>
      <x:c r="D134" t="str">
        <x:v>Placa de Rede PCIe</x:v>
      </x:c>
      <x:c r="E134" t="str">
        <x:v>Rede</x:v>
      </x:c>
      <x:c r="F134" s="34" t="n">
        <x:v>6</x:v>
      </x:c>
      <x:c r="G134" t="str">
        <x:v>Connect Rede</x:v>
      </x:c>
      <x:c r="H134" s="34" t="n">
        <x:v>1</x:v>
      </x:c>
      <x:c r="I134" s="36" t="n">
        <x:v>79.9</x:v>
      </x:c>
      <x:c r="J134" s="38" t="n">
        <x:v>0.08</x:v>
      </x:c>
      <x:c r="K134" s="36" t="n">
        <x:v>73.51</x:v>
      </x:c>
      <x:c r="L134" s="36" t="n">
        <x:v>73.51</x:v>
      </x:c>
    </x:row>
    <x:row r="135">
      <x:c r="A135" s="34" t="n">
        <x:v>134</x:v>
      </x:c>
      <x:c r="B135" s="34" t="n">
        <x:v>83</x:v>
      </x:c>
      <x:c r="C135" s="34" t="n">
        <x:v>8</x:v>
      </x:c>
      <x:c r="D135" t="str">
        <x:v>Suporte Articulado para Monitor</x:v>
      </x:c>
      <x:c r="E135" t="str">
        <x:v>Acessórios</x:v>
      </x:c>
      <x:c r="F135" s="34" t="n">
        <x:v>7</x:v>
      </x:c>
      <x:c r="G135" t="str">
        <x:v>OfficeTech Supply</x:v>
      </x:c>
      <x:c r="H135" s="34" t="n">
        <x:v>4</x:v>
      </x:c>
      <x:c r="I135" s="36" t="n">
        <x:v>149.9</x:v>
      </x:c>
      <x:c r="J135" s="38" t="n">
        <x:v>0</x:v>
      </x:c>
      <x:c r="K135" s="36" t="n">
        <x:v>149.9</x:v>
      </x:c>
      <x:c r="L135" s="36" t="n">
        <x:v>599.6</x:v>
      </x:c>
    </x:row>
    <x:row r="136">
      <x:c r="A136" s="34" t="n">
        <x:v>135</x:v>
      </x:c>
      <x:c r="B136" s="34" t="n">
        <x:v>84</x:v>
      </x:c>
      <x:c r="C136" s="34" t="n">
        <x:v>28</x:v>
      </x:c>
      <x:c r="D136" t="str">
        <x:v>Repetidor Wi-Fi</x:v>
      </x:c>
      <x:c r="E136" t="str">
        <x:v>Rede</x:v>
      </x:c>
      <x:c r="F136" s="34" t="n">
        <x:v>6</x:v>
      </x:c>
      <x:c r="G136" t="str">
        <x:v>Connect Rede</x:v>
      </x:c>
      <x:c r="H136" s="34" t="n">
        <x:v>1</x:v>
      </x:c>
      <x:c r="I136" s="36" t="n">
        <x:v>139.9</x:v>
      </x:c>
      <x:c r="J136" s="38" t="n">
        <x:v>0.12</x:v>
      </x:c>
      <x:c r="K136" s="36" t="n">
        <x:v>123.11</x:v>
      </x:c>
      <x:c r="L136" s="36" t="n">
        <x:v>123.11</x:v>
      </x:c>
    </x:row>
    <x:row r="137">
      <x:c r="A137" s="34" t="n">
        <x:v>136</x:v>
      </x:c>
      <x:c r="B137" s="34" t="n">
        <x:v>84</x:v>
      </x:c>
      <x:c r="C137" s="34" t="n">
        <x:v>27</x:v>
      </x:c>
      <x:c r="D137" t="str">
        <x:v>Placa de Rede PCIe</x:v>
      </x:c>
      <x:c r="E137" t="str">
        <x:v>Rede</x:v>
      </x:c>
      <x:c r="F137" s="34" t="n">
        <x:v>6</x:v>
      </x:c>
      <x:c r="G137" t="str">
        <x:v>Connect Rede</x:v>
      </x:c>
      <x:c r="H137" s="34" t="n">
        <x:v>1</x:v>
      </x:c>
      <x:c r="I137" s="36" t="n">
        <x:v>79.9</x:v>
      </x:c>
      <x:c r="J137" s="38" t="n">
        <x:v>0</x:v>
      </x:c>
      <x:c r="K137" s="36" t="n">
        <x:v>79.9</x:v>
      </x:c>
      <x:c r="L137" s="36" t="n">
        <x:v>79.9</x:v>
      </x:c>
    </x:row>
    <x:row r="138">
      <x:c r="A138" s="34" t="n">
        <x:v>137</x:v>
      </x:c>
      <x:c r="B138" s="34" t="n">
        <x:v>85</x:v>
      </x:c>
      <x:c r="C138" s="34" t="n">
        <x:v>5</x:v>
      </x:c>
      <x:c r="D138" t="str">
        <x:v>Mousepad Grande</x:v>
      </x:c>
      <x:c r="E138" t="str">
        <x:v>Acessórios</x:v>
      </x:c>
      <x:c r="F138" s="34" t="n">
        <x:v>3</x:v>
      </x:c>
      <x:c r="G138" t="str">
        <x:v>Prime Eletrônicos</x:v>
      </x:c>
      <x:c r="H138" s="34" t="n">
        <x:v>3</x:v>
      </x:c>
      <x:c r="I138" s="36" t="n">
        <x:v>39.9</x:v>
      </x:c>
      <x:c r="J138" s="38" t="n">
        <x:v>0.05</x:v>
      </x:c>
      <x:c r="K138" s="36" t="n">
        <x:v>37.9</x:v>
      </x:c>
      <x:c r="L138" s="36" t="n">
        <x:v>113.7</x:v>
      </x:c>
    </x:row>
    <x:row r="139">
      <x:c r="A139" s="34" t="n">
        <x:v>138</x:v>
      </x:c>
      <x:c r="B139" s="34" t="n">
        <x:v>85</x:v>
      </x:c>
      <x:c r="C139" s="34" t="n">
        <x:v>25</x:v>
      </x:c>
      <x:c r="D139" t="str">
        <x:v>Roteador Wi-Fi AC1200</x:v>
      </x:c>
      <x:c r="E139" t="str">
        <x:v>Rede</x:v>
      </x:c>
      <x:c r="F139" s="34" t="n">
        <x:v>6</x:v>
      </x:c>
      <x:c r="G139" t="str">
        <x:v>Connect Rede</x:v>
      </x:c>
      <x:c r="H139" s="34" t="n">
        <x:v>1</x:v>
      </x:c>
      <x:c r="I139" s="36" t="n">
        <x:v>249.9</x:v>
      </x:c>
      <x:c r="J139" s="38" t="n">
        <x:v>0.05</x:v>
      </x:c>
      <x:c r="K139" s="36" t="n">
        <x:v>237.41</x:v>
      </x:c>
      <x:c r="L139" s="36" t="n">
        <x:v>237.41</x:v>
      </x:c>
    </x:row>
    <x:row r="140">
      <x:c r="A140" s="34" t="n">
        <x:v>139</x:v>
      </x:c>
      <x:c r="B140" s="34" t="n">
        <x:v>86</x:v>
      </x:c>
      <x:c r="C140" s="34" t="n">
        <x:v>7</x:v>
      </x:c>
      <x:c r="D140" t="str">
        <x:v>Adaptador USB-C HDMI</x:v>
      </x:c>
      <x:c r="E140" t="str">
        <x:v>Acessórios</x:v>
      </x:c>
      <x:c r="F140" s="34" t="n">
        <x:v>3</x:v>
      </x:c>
      <x:c r="G140" t="str">
        <x:v>Prime Eletrônicos</x:v>
      </x:c>
      <x:c r="H140" s="34" t="n">
        <x:v>1</x:v>
      </x:c>
      <x:c r="I140" s="36" t="n">
        <x:v>119.9</x:v>
      </x:c>
      <x:c r="J140" s="38" t="n">
        <x:v>0</x:v>
      </x:c>
      <x:c r="K140" s="36" t="n">
        <x:v>119.9</x:v>
      </x:c>
      <x:c r="L140" s="36" t="n">
        <x:v>119.9</x:v>
      </x:c>
    </x:row>
    <x:row r="141">
      <x:c r="A141" s="34" t="n">
        <x:v>140</x:v>
      </x:c>
      <x:c r="B141" s="34" t="n">
        <x:v>86</x:v>
      </x:c>
      <x:c r="C141" s="34" t="n">
        <x:v>6</x:v>
      </x:c>
      <x:c r="D141" t="str">
        <x:v>Cabo HDMI 2m</x:v>
      </x:c>
      <x:c r="E141" t="str">
        <x:v>Acessórios</x:v>
      </x:c>
      <x:c r="F141" s="34" t="n">
        <x:v>3</x:v>
      </x:c>
      <x:c r="G141" t="str">
        <x:v>Prime Eletrônicos</x:v>
      </x:c>
      <x:c r="H141" s="34" t="n">
        <x:v>1</x:v>
      </x:c>
      <x:c r="I141" s="36" t="n">
        <x:v>29.9</x:v>
      </x:c>
      <x:c r="J141" s="38" t="n">
        <x:v>0</x:v>
      </x:c>
      <x:c r="K141" s="36" t="n">
        <x:v>29.9</x:v>
      </x:c>
      <x:c r="L141" s="36" t="n">
        <x:v>29.9</x:v>
      </x:c>
    </x:row>
    <x:row r="142">
      <x:c r="A142" s="34" t="n">
        <x:v>141</x:v>
      </x:c>
      <x:c r="B142" s="34" t="n">
        <x:v>87</x:v>
      </x:c>
      <x:c r="C142" s="34" t="n">
        <x:v>1</x:v>
      </x:c>
      <x:c r="D142" t="str">
        <x:v>Mouse Óptico USB</x:v>
      </x:c>
      <x:c r="E142" t="str">
        <x:v>Periféricos</x:v>
      </x:c>
      <x:c r="F142" s="34" t="n">
        <x:v>1</x:v>
      </x:c>
      <x:c r="G142" t="str">
        <x:v>TechDistribuidora Brasil</x:v>
      </x:c>
      <x:c r="H142" s="34" t="n">
        <x:v>2</x:v>
      </x:c>
      <x:c r="I142" s="36" t="n">
        <x:v>49.9</x:v>
      </x:c>
      <x:c r="J142" s="38" t="n">
        <x:v>0.05</x:v>
      </x:c>
      <x:c r="K142" s="36" t="n">
        <x:v>47.4</x:v>
      </x:c>
      <x:c r="L142" s="36" t="n">
        <x:v>94.8</x:v>
      </x:c>
    </x:row>
    <x:row r="143">
      <x:c r="A143" s="34" t="n">
        <x:v>142</x:v>
      </x:c>
      <x:c r="B143" s="34" t="n">
        <x:v>87</x:v>
      </x:c>
      <x:c r="C143" s="34" t="n">
        <x:v>14</x:v>
      </x:c>
      <x:c r="D143" t="str">
        <x:v>Memória RAM 16GB DDR4</x:v>
      </x:c>
      <x:c r="E143" t="str">
        <x:v>Componentes</x:v>
      </x:c>
      <x:c r="F143" s="34" t="n">
        <x:v>2</x:v>
      </x:c>
      <x:c r="G143" t="str">
        <x:v>Mega Componentes</x:v>
      </x:c>
      <x:c r="H143" s="34" t="n">
        <x:v>1</x:v>
      </x:c>
      <x:c r="I143" s="36" t="n">
        <x:v>319.9</x:v>
      </x:c>
      <x:c r="J143" s="38" t="n">
        <x:v>0</x:v>
      </x:c>
      <x:c r="K143" s="36" t="n">
        <x:v>319.9</x:v>
      </x:c>
      <x:c r="L143" s="36" t="n">
        <x:v>319.9</x:v>
      </x:c>
    </x:row>
    <x:row r="144">
      <x:c r="A144" s="34" t="n">
        <x:v>143</x:v>
      </x:c>
      <x:c r="B144" s="34" t="n">
        <x:v>88</x:v>
      </x:c>
      <x:c r="C144" s="34" t="n">
        <x:v>4</x:v>
      </x:c>
      <x:c r="D144" t="str">
        <x:v>Webcam Full HD</x:v>
      </x:c>
      <x:c r="E144" t="str">
        <x:v>Periféricos</x:v>
      </x:c>
      <x:c r="F144" s="34" t="n">
        <x:v>3</x:v>
      </x:c>
      <x:c r="G144" t="str">
        <x:v>Prime Eletrônicos</x:v>
      </x:c>
      <x:c r="H144" s="34" t="n">
        <x:v>2</x:v>
      </x:c>
      <x:c r="I144" s="36" t="n">
        <x:v>199.9</x:v>
      </x:c>
      <x:c r="J144" s="38" t="n">
        <x:v>0.1</x:v>
      </x:c>
      <x:c r="K144" s="36" t="n">
        <x:v>179.91</x:v>
      </x:c>
      <x:c r="L144" s="36" t="n">
        <x:v>359.82</x:v>
      </x:c>
    </x:row>
    <x:row r="145">
      <x:c r="A145" s="34" t="n">
        <x:v>144</x:v>
      </x:c>
      <x:c r="B145" s="34" t="n">
        <x:v>89</x:v>
      </x:c>
      <x:c r="C145" s="34" t="n">
        <x:v>4</x:v>
      </x:c>
      <x:c r="D145" t="str">
        <x:v>Webcam Full HD</x:v>
      </x:c>
      <x:c r="E145" t="str">
        <x:v>Periféricos</x:v>
      </x:c>
      <x:c r="F145" s="34" t="n">
        <x:v>3</x:v>
      </x:c>
      <x:c r="G145" t="str">
        <x:v>Prime Eletrônicos</x:v>
      </x:c>
      <x:c r="H145" s="34" t="n">
        <x:v>1</x:v>
      </x:c>
      <x:c r="I145" s="36" t="n">
        <x:v>199.9</x:v>
      </x:c>
      <x:c r="J145" s="38" t="n">
        <x:v>0</x:v>
      </x:c>
      <x:c r="K145" s="36" t="n">
        <x:v>199.9</x:v>
      </x:c>
      <x:c r="L145" s="36" t="n">
        <x:v>199.9</x:v>
      </x:c>
    </x:row>
    <x:row r="146">
      <x:c r="A146" s="34" t="n">
        <x:v>145</x:v>
      </x:c>
      <x:c r="B146" s="34" t="n">
        <x:v>89</x:v>
      </x:c>
      <x:c r="C146" s="34" t="n">
        <x:v>5</x:v>
      </x:c>
      <x:c r="D146" t="str">
        <x:v>Mousepad Grande</x:v>
      </x:c>
      <x:c r="E146" t="str">
        <x:v>Acessórios</x:v>
      </x:c>
      <x:c r="F146" s="34" t="n">
        <x:v>3</x:v>
      </x:c>
      <x:c r="G146" t="str">
        <x:v>Prime Eletrônicos</x:v>
      </x:c>
      <x:c r="H146" s="34" t="n">
        <x:v>2</x:v>
      </x:c>
      <x:c r="I146" s="36" t="n">
        <x:v>39.9</x:v>
      </x:c>
      <x:c r="J146" s="38" t="n">
        <x:v>0.03</x:v>
      </x:c>
      <x:c r="K146" s="36" t="n">
        <x:v>38.7</x:v>
      </x:c>
      <x:c r="L146" s="36" t="n">
        <x:v>77.4</x:v>
      </x:c>
    </x:row>
    <x:row r="147">
      <x:c r="A147" s="34" t="n">
        <x:v>146</x:v>
      </x:c>
      <x:c r="B147" s="34" t="n">
        <x:v>90</x:v>
      </x:c>
      <x:c r="C147" s="34" t="n">
        <x:v>26</x:v>
      </x:c>
      <x:c r="D147" t="str">
        <x:v>Switch 8 Portas Gigabit</x:v>
      </x:c>
      <x:c r="E147" t="str">
        <x:v>Rede</x:v>
      </x:c>
      <x:c r="F147" s="34" t="n">
        <x:v>6</x:v>
      </x:c>
      <x:c r="G147" t="str">
        <x:v>Connect Rede</x:v>
      </x:c>
      <x:c r="H147" s="34" t="n">
        <x:v>1</x:v>
      </x:c>
      <x:c r="I147" s="36" t="n">
        <x:v>189.9</x:v>
      </x:c>
      <x:c r="J147" s="38" t="n">
        <x:v>0</x:v>
      </x:c>
      <x:c r="K147" s="36" t="n">
        <x:v>189.9</x:v>
      </x:c>
      <x:c r="L147" s="36" t="n">
        <x:v>189.9</x:v>
      </x:c>
    </x:row>
    <x:row r="148">
      <x:c r="A148" s="34" t="n">
        <x:v>147</x:v>
      </x:c>
      <x:c r="B148" s="34" t="n">
        <x:v>91</x:v>
      </x:c>
      <x:c r="C148" s="34" t="n">
        <x:v>1</x:v>
      </x:c>
      <x:c r="D148" t="str">
        <x:v>Mouse Óptico USB</x:v>
      </x:c>
      <x:c r="E148" t="str">
        <x:v>Periféricos</x:v>
      </x:c>
      <x:c r="F148" s="34" t="n">
        <x:v>1</x:v>
      </x:c>
      <x:c r="G148" t="str">
        <x:v>TechDistribuidora Brasil</x:v>
      </x:c>
      <x:c r="H148" s="34" t="n">
        <x:v>2</x:v>
      </x:c>
      <x:c r="I148" s="36" t="n">
        <x:v>49.9</x:v>
      </x:c>
      <x:c r="J148" s="38" t="n">
        <x:v>0.03</x:v>
      </x:c>
      <x:c r="K148" s="36" t="n">
        <x:v>48.4</x:v>
      </x:c>
      <x:c r="L148" s="36" t="n">
        <x:v>96.8</x:v>
      </x:c>
    </x:row>
    <x:row r="149">
      <x:c r="A149" s="34" t="n">
        <x:v>148</x:v>
      </x:c>
      <x:c r="B149" s="34" t="n">
        <x:v>92</x:v>
      </x:c>
      <x:c r="C149" s="34" t="n">
        <x:v>10</x:v>
      </x:c>
      <x:c r="D149" t="str">
        <x:v>SSD 480GB SATA</x:v>
      </x:c>
      <x:c r="E149" t="str">
        <x:v>Armazenamento</x:v>
      </x:c>
      <x:c r="F149" s="34" t="n">
        <x:v>2</x:v>
      </x:c>
      <x:c r="G149" t="str">
        <x:v>Mega Componentes</x:v>
      </x:c>
      <x:c r="H149" s="34" t="n">
        <x:v>1</x:v>
      </x:c>
      <x:c r="I149" s="36" t="n">
        <x:v>259.9</x:v>
      </x:c>
      <x:c r="J149" s="38" t="n">
        <x:v>0.05</x:v>
      </x:c>
      <x:c r="K149" s="36" t="n">
        <x:v>246.9</x:v>
      </x:c>
      <x:c r="L149" s="36" t="n">
        <x:v>246.9</x:v>
      </x:c>
    </x:row>
    <x:row r="150">
      <x:c r="A150" s="34" t="n">
        <x:v>149</x:v>
      </x:c>
      <x:c r="B150" s="34" t="n">
        <x:v>92</x:v>
      </x:c>
      <x:c r="C150" s="34" t="n">
        <x:v>1</x:v>
      </x:c>
      <x:c r="D150" t="str">
        <x:v>Mouse Óptico USB</x:v>
      </x:c>
      <x:c r="E150" t="str">
        <x:v>Periféricos</x:v>
      </x:c>
      <x:c r="F150" s="34" t="n">
        <x:v>1</x:v>
      </x:c>
      <x:c r="G150" t="str">
        <x:v>TechDistribuidora Brasil</x:v>
      </x:c>
      <x:c r="H150" s="34" t="n">
        <x:v>3</x:v>
      </x:c>
      <x:c r="I150" s="36" t="n">
        <x:v>49.9</x:v>
      </x:c>
      <x:c r="J150" s="38" t="n">
        <x:v>0</x:v>
      </x:c>
      <x:c r="K150" s="36" t="n">
        <x:v>49.9</x:v>
      </x:c>
      <x:c r="L150" s="36" t="n">
        <x:v>149.7</x:v>
      </x:c>
    </x:row>
    <x:row r="151">
      <x:c r="A151" s="34" t="n">
        <x:v>150</x:v>
      </x:c>
      <x:c r="B151" s="34" t="n">
        <x:v>93</x:v>
      </x:c>
      <x:c r="C151" s="34" t="n">
        <x:v>27</x:v>
      </x:c>
      <x:c r="D151" t="str">
        <x:v>Placa de Rede PCIe</x:v>
      </x:c>
      <x:c r="E151" t="str">
        <x:v>Rede</x:v>
      </x:c>
      <x:c r="F151" s="34" t="n">
        <x:v>6</x:v>
      </x:c>
      <x:c r="G151" t="str">
        <x:v>Connect Rede</x:v>
      </x:c>
      <x:c r="H151" s="34" t="n">
        <x:v>2</x:v>
      </x:c>
      <x:c r="I151" s="36" t="n">
        <x:v>79.9</x:v>
      </x:c>
      <x:c r="J151" s="38" t="n">
        <x:v>0</x:v>
      </x:c>
      <x:c r="K151" s="36" t="n">
        <x:v>79.9</x:v>
      </x:c>
      <x:c r="L151" s="36" t="n">
        <x:v>159.8</x:v>
      </x:c>
    </x:row>
    <x:row r="152">
      <x:c r="A152" s="34" t="n">
        <x:v>151</x:v>
      </x:c>
      <x:c r="B152" s="34" t="n">
        <x:v>93</x:v>
      </x:c>
      <x:c r="C152" s="34" t="n">
        <x:v>6</x:v>
      </x:c>
      <x:c r="D152" t="str">
        <x:v>Cabo HDMI 2m</x:v>
      </x:c>
      <x:c r="E152" t="str">
        <x:v>Acessórios</x:v>
      </x:c>
      <x:c r="F152" s="34" t="n">
        <x:v>3</x:v>
      </x:c>
      <x:c r="G152" t="str">
        <x:v>Prime Eletrônicos</x:v>
      </x:c>
      <x:c r="H152" s="34" t="n">
        <x:v>1</x:v>
      </x:c>
      <x:c r="I152" s="36" t="n">
        <x:v>29.9</x:v>
      </x:c>
      <x:c r="J152" s="38" t="n">
        <x:v>0</x:v>
      </x:c>
      <x:c r="K152" s="36" t="n">
        <x:v>29.9</x:v>
      </x:c>
      <x:c r="L152" s="36" t="n">
        <x:v>29.9</x:v>
      </x:c>
    </x:row>
    <x:row r="153">
      <x:c r="A153" s="34" t="n">
        <x:v>152</x:v>
      </x:c>
      <x:c r="B153" s="34" t="n">
        <x:v>93</x:v>
      </x:c>
      <x:c r="C153" s="34" t="n">
        <x:v>15</x:v>
      </x:c>
      <x:c r="D153" t="str">
        <x:v>Fonte 500W 80 Plus</x:v>
      </x:c>
      <x:c r="E153" t="str">
        <x:v>Componentes</x:v>
      </x:c>
      <x:c r="F153" s="34" t="n">
        <x:v>5</x:v>
      </x:c>
      <x:c r="G153" t="str">
        <x:v>FastHardware</x:v>
      </x:c>
      <x:c r="H153" s="34" t="n">
        <x:v>1</x:v>
      </x:c>
      <x:c r="I153" s="36" t="n">
        <x:v>289.9</x:v>
      </x:c>
      <x:c r="J153" s="38" t="n">
        <x:v>0.05</x:v>
      </x:c>
      <x:c r="K153" s="36" t="n">
        <x:v>275.4</x:v>
      </x:c>
      <x:c r="L153" s="36" t="n">
        <x:v>275.4</x:v>
      </x:c>
    </x:row>
    <x:row r="154">
      <x:c r="A154" s="34" t="n">
        <x:v>153</x:v>
      </x:c>
      <x:c r="B154" s="34" t="n">
        <x:v>94</x:v>
      </x:c>
      <x:c r="C154" s="34" t="n">
        <x:v>5</x:v>
      </x:c>
      <x:c r="D154" t="str">
        <x:v>Mousepad Grande</x:v>
      </x:c>
      <x:c r="E154" t="str">
        <x:v>Acessórios</x:v>
      </x:c>
      <x:c r="F154" s="34" t="n">
        <x:v>3</x:v>
      </x:c>
      <x:c r="G154" t="str">
        <x:v>Prime Eletrônicos</x:v>
      </x:c>
      <x:c r="H154" s="34" t="n">
        <x:v>1</x:v>
      </x:c>
      <x:c r="I154" s="36" t="n">
        <x:v>39.9</x:v>
      </x:c>
      <x:c r="J154" s="38" t="n">
        <x:v>0.05</x:v>
      </x:c>
      <x:c r="K154" s="36" t="n">
        <x:v>37.9</x:v>
      </x:c>
      <x:c r="L154" s="36" t="n">
        <x:v>37.9</x:v>
      </x:c>
    </x:row>
    <x:row r="155">
      <x:c r="A155" s="34" t="n">
        <x:v>154</x:v>
      </x:c>
      <x:c r="B155" s="34" t="n">
        <x:v>95</x:v>
      </x:c>
      <x:c r="C155" s="34" t="n">
        <x:v>1</x:v>
      </x:c>
      <x:c r="D155" t="str">
        <x:v>Mouse Óptico USB</x:v>
      </x:c>
      <x:c r="E155" t="str">
        <x:v>Periféricos</x:v>
      </x:c>
      <x:c r="F155" s="34" t="n">
        <x:v>1</x:v>
      </x:c>
      <x:c r="G155" t="str">
        <x:v>TechDistribuidora Brasil</x:v>
      </x:c>
      <x:c r="H155" s="34" t="n">
        <x:v>1</x:v>
      </x:c>
      <x:c r="I155" s="36" t="n">
        <x:v>49.9</x:v>
      </x:c>
      <x:c r="J155" s="38" t="n">
        <x:v>0.08</x:v>
      </x:c>
      <x:c r="K155" s="36" t="n">
        <x:v>45.91</x:v>
      </x:c>
      <x:c r="L155" s="36" t="n">
        <x:v>45.91</x:v>
      </x:c>
    </x:row>
    <x:row r="156">
      <x:c r="A156" s="34" t="n">
        <x:v>155</x:v>
      </x:c>
      <x:c r="B156" s="34" t="n">
        <x:v>95</x:v>
      </x:c>
      <x:c r="C156" s="34" t="n">
        <x:v>4</x:v>
      </x:c>
      <x:c r="D156" t="str">
        <x:v>Webcam Full HD</x:v>
      </x:c>
      <x:c r="E156" t="str">
        <x:v>Periféricos</x:v>
      </x:c>
      <x:c r="F156" s="34" t="n">
        <x:v>3</x:v>
      </x:c>
      <x:c r="G156" t="str">
        <x:v>Prime Eletrônicos</x:v>
      </x:c>
      <x:c r="H156" s="34" t="n">
        <x:v>1</x:v>
      </x:c>
      <x:c r="I156" s="36" t="n">
        <x:v>199.9</x:v>
      </x:c>
      <x:c r="J156" s="38" t="n">
        <x:v>0.03</x:v>
      </x:c>
      <x:c r="K156" s="36" t="n">
        <x:v>193.9</x:v>
      </x:c>
      <x:c r="L156" s="36" t="n">
        <x:v>193.9</x:v>
      </x:c>
    </x:row>
    <x:row r="157">
      <x:c r="A157" s="34" t="n">
        <x:v>156</x:v>
      </x:c>
      <x:c r="B157" s="34" t="n">
        <x:v>95</x:v>
      </x:c>
      <x:c r="C157" s="34" t="n">
        <x:v>2</x:v>
      </x:c>
      <x:c r="D157" t="str">
        <x:v>Teclado Membrana ABNT2</x:v>
      </x:c>
      <x:c r="E157" t="str">
        <x:v>Periféricos</x:v>
      </x:c>
      <x:c r="F157" s="34" t="n">
        <x:v>1</x:v>
      </x:c>
      <x:c r="G157" t="str">
        <x:v>TechDistribuidora Brasil</x:v>
      </x:c>
      <x:c r="H157" s="34" t="n">
        <x:v>1</x:v>
      </x:c>
      <x:c r="I157" s="36" t="n">
        <x:v>89.9</x:v>
      </x:c>
      <x:c r="J157" s="38" t="n">
        <x:v>0.08</x:v>
      </x:c>
      <x:c r="K157" s="36" t="n">
        <x:v>82.71</x:v>
      </x:c>
      <x:c r="L157" s="36" t="n">
        <x:v>82.71</x:v>
      </x:c>
    </x:row>
    <x:row r="158">
      <x:c r="A158" s="34" t="n">
        <x:v>157</x:v>
      </x:c>
      <x:c r="B158" s="34" t="n">
        <x:v>96</x:v>
      </x:c>
      <x:c r="C158" s="34" t="n">
        <x:v>20</x:v>
      </x:c>
      <x:c r="D158" t="str">
        <x:v>Monitor IPS 24"</x:v>
      </x:c>
      <x:c r="E158" t="str">
        <x:v>Monitores</x:v>
      </x:c>
      <x:c r="F158" s="34" t="n">
        <x:v>8</x:v>
      </x:c>
      <x:c r="G158" t="str">
        <x:v>Brasil Monitores</x:v>
      </x:c>
      <x:c r="H158" s="34" t="n">
        <x:v>1</x:v>
      </x:c>
      <x:c r="I158" s="36" t="n">
        <x:v>899.9</x:v>
      </x:c>
      <x:c r="J158" s="38" t="n">
        <x:v>0.03</x:v>
      </x:c>
      <x:c r="K158" s="36" t="n">
        <x:v>872.9</x:v>
      </x:c>
      <x:c r="L158" s="36" t="n">
        <x:v>872.9</x:v>
      </x:c>
    </x:row>
    <x:row r="159">
      <x:c r="A159" s="34" t="n">
        <x:v>158</x:v>
      </x:c>
      <x:c r="B159" s="34" t="n">
        <x:v>96</x:v>
      </x:c>
      <x:c r="C159" s="34" t="n">
        <x:v>25</x:v>
      </x:c>
      <x:c r="D159" t="str">
        <x:v>Roteador Wi-Fi AC1200</x:v>
      </x:c>
      <x:c r="E159" t="str">
        <x:v>Rede</x:v>
      </x:c>
      <x:c r="F159" s="34" t="n">
        <x:v>6</x:v>
      </x:c>
      <x:c r="G159" t="str">
        <x:v>Connect Rede</x:v>
      </x:c>
      <x:c r="H159" s="34" t="n">
        <x:v>2</x:v>
      </x:c>
      <x:c r="I159" s="36" t="n">
        <x:v>249.9</x:v>
      </x:c>
      <x:c r="J159" s="38" t="n">
        <x:v>0</x:v>
      </x:c>
      <x:c r="K159" s="36" t="n">
        <x:v>249.9</x:v>
      </x:c>
      <x:c r="L159" s="36" t="n">
        <x:v>499.8</x:v>
      </x:c>
    </x:row>
    <x:row r="160">
      <x:c r="A160" s="34" t="n">
        <x:v>159</x:v>
      </x:c>
      <x:c r="B160" s="34" t="n">
        <x:v>97</x:v>
      </x:c>
      <x:c r="C160" s="34" t="n">
        <x:v>28</x:v>
      </x:c>
      <x:c r="D160" t="str">
        <x:v>Repetidor Wi-Fi</x:v>
      </x:c>
      <x:c r="E160" t="str">
        <x:v>Rede</x:v>
      </x:c>
      <x:c r="F160" s="34" t="n">
        <x:v>6</x:v>
      </x:c>
      <x:c r="G160" t="str">
        <x:v>Connect Rede</x:v>
      </x:c>
      <x:c r="H160" s="34" t="n">
        <x:v>2</x:v>
      </x:c>
      <x:c r="I160" s="36" t="n">
        <x:v>139.9</x:v>
      </x:c>
      <x:c r="J160" s="38" t="n">
        <x:v>0</x:v>
      </x:c>
      <x:c r="K160" s="36" t="n">
        <x:v>139.9</x:v>
      </x:c>
      <x:c r="L160" s="36" t="n">
        <x:v>279.8</x:v>
      </x:c>
    </x:row>
    <x:row r="161">
      <x:c r="A161" s="34" t="n">
        <x:v>160</x:v>
      </x:c>
      <x:c r="B161" s="34" t="n">
        <x:v>97</x:v>
      </x:c>
      <x:c r="C161" s="34" t="n">
        <x:v>15</x:v>
      </x:c>
      <x:c r="D161" t="str">
        <x:v>Fonte 500W 80 Plus</x:v>
      </x:c>
      <x:c r="E161" t="str">
        <x:v>Componentes</x:v>
      </x:c>
      <x:c r="F161" s="34" t="n">
        <x:v>5</x:v>
      </x:c>
      <x:c r="G161" t="str">
        <x:v>FastHardware</x:v>
      </x:c>
      <x:c r="H161" s="34" t="n">
        <x:v>2</x:v>
      </x:c>
      <x:c r="I161" s="36" t="n">
        <x:v>289.9</x:v>
      </x:c>
      <x:c r="J161" s="38" t="n">
        <x:v>0</x:v>
      </x:c>
      <x:c r="K161" s="36" t="n">
        <x:v>289.9</x:v>
      </x:c>
      <x:c r="L161" s="36" t="n">
        <x:v>579.8</x:v>
      </x:c>
    </x:row>
    <x:row r="162">
      <x:c r="A162" s="34" t="n">
        <x:v>161</x:v>
      </x:c>
      <x:c r="B162" s="34" t="n">
        <x:v>98</x:v>
      </x:c>
      <x:c r="C162" s="34" t="n">
        <x:v>1</x:v>
      </x:c>
      <x:c r="D162" t="str">
        <x:v>Mouse Óptico USB</x:v>
      </x:c>
      <x:c r="E162" t="str">
        <x:v>Periféricos</x:v>
      </x:c>
      <x:c r="F162" s="34" t="n">
        <x:v>1</x:v>
      </x:c>
      <x:c r="G162" t="str">
        <x:v>TechDistribuidora Brasil</x:v>
      </x:c>
      <x:c r="H162" s="34" t="n">
        <x:v>1</x:v>
      </x:c>
      <x:c r="I162" s="36" t="n">
        <x:v>49.9</x:v>
      </x:c>
      <x:c r="J162" s="38" t="n">
        <x:v>0</x:v>
      </x:c>
      <x:c r="K162" s="36" t="n">
        <x:v>49.9</x:v>
      </x:c>
      <x:c r="L162" s="36" t="n">
        <x:v>49.9</x:v>
      </x:c>
    </x:row>
    <x:row r="163">
      <x:c r="A163" s="34" t="n">
        <x:v>162</x:v>
      </x:c>
      <x:c r="B163" s="34" t="n">
        <x:v>99</x:v>
      </x:c>
      <x:c r="C163" s="34" t="n">
        <x:v>18</x:v>
      </x:c>
      <x:c r="D163" t="str">
        <x:v>Cooler para Processador</x:v>
      </x:c>
      <x:c r="E163" t="str">
        <x:v>Componentes</x:v>
      </x:c>
      <x:c r="F163" s="34" t="n">
        <x:v>2</x:v>
      </x:c>
      <x:c r="G163" t="str">
        <x:v>Mega Componentes</x:v>
      </x:c>
      <x:c r="H163" s="34" t="n">
        <x:v>1</x:v>
      </x:c>
      <x:c r="I163" s="36" t="n">
        <x:v>99.9</x:v>
      </x:c>
      <x:c r="J163" s="38" t="n">
        <x:v>0.05</x:v>
      </x:c>
      <x:c r="K163" s="36" t="n">
        <x:v>94.91</x:v>
      </x:c>
      <x:c r="L163" s="36" t="n">
        <x:v>94.91</x:v>
      </x:c>
    </x:row>
    <x:row r="164">
      <x:c r="A164" s="34" t="n">
        <x:v>163</x:v>
      </x:c>
      <x:c r="B164" s="34" t="n">
        <x:v>100</x:v>
      </x:c>
      <x:c r="C164" s="34" t="n">
        <x:v>4</x:v>
      </x:c>
      <x:c r="D164" t="str">
        <x:v>Webcam Full HD</x:v>
      </x:c>
      <x:c r="E164" t="str">
        <x:v>Periféricos</x:v>
      </x:c>
      <x:c r="F164" s="34" t="n">
        <x:v>3</x:v>
      </x:c>
      <x:c r="G164" t="str">
        <x:v>Prime Eletrônicos</x:v>
      </x:c>
      <x:c r="H164" s="34" t="n">
        <x:v>2</x:v>
      </x:c>
      <x:c r="I164" s="36" t="n">
        <x:v>199.9</x:v>
      </x:c>
      <x:c r="J164" s="38" t="n">
        <x:v>0.05</x:v>
      </x:c>
      <x:c r="K164" s="36" t="n">
        <x:v>189.91</x:v>
      </x:c>
      <x:c r="L164" s="36" t="n">
        <x:v>379.82</x:v>
      </x:c>
    </x:row>
    <x:row r="165">
      <x:c r="A165" s="34" t="n">
        <x:v>164</x:v>
      </x:c>
      <x:c r="B165" s="34" t="n">
        <x:v>101</x:v>
      </x:c>
      <x:c r="C165" s="34" t="n">
        <x:v>13</x:v>
      </x:c>
      <x:c r="D165" t="str">
        <x:v>Memória RAM 8GB DDR4</x:v>
      </x:c>
      <x:c r="E165" t="str">
        <x:v>Componentes</x:v>
      </x:c>
      <x:c r="F165" s="34" t="n">
        <x:v>2</x:v>
      </x:c>
      <x:c r="G165" t="str">
        <x:v>Mega Componentes</x:v>
      </x:c>
      <x:c r="H165" s="34" t="n">
        <x:v>1</x:v>
      </x:c>
      <x:c r="I165" s="36" t="n">
        <x:v>179.9</x:v>
      </x:c>
      <x:c r="J165" s="38" t="n">
        <x:v>0</x:v>
      </x:c>
      <x:c r="K165" s="36" t="n">
        <x:v>179.9</x:v>
      </x:c>
      <x:c r="L165" s="36" t="n">
        <x:v>179.9</x:v>
      </x:c>
    </x:row>
    <x:row r="166">
      <x:c r="A166" s="34" t="n">
        <x:v>165</x:v>
      </x:c>
      <x:c r="B166" s="34" t="n">
        <x:v>102</x:v>
      </x:c>
      <x:c r="C166" s="34" t="n">
        <x:v>8</x:v>
      </x:c>
      <x:c r="D166" t="str">
        <x:v>Suporte Articulado para Monitor</x:v>
      </x:c>
      <x:c r="E166" t="str">
        <x:v>Acessórios</x:v>
      </x:c>
      <x:c r="F166" s="34" t="n">
        <x:v>7</x:v>
      </x:c>
      <x:c r="G166" t="str">
        <x:v>OfficeTech Supply</x:v>
      </x:c>
      <x:c r="H166" s="34" t="n">
        <x:v>1</x:v>
      </x:c>
      <x:c r="I166" s="36" t="n">
        <x:v>149.9</x:v>
      </x:c>
      <x:c r="J166" s="38" t="n">
        <x:v>0.03</x:v>
      </x:c>
      <x:c r="K166" s="36" t="n">
        <x:v>145.4</x:v>
      </x:c>
      <x:c r="L166" s="36" t="n">
        <x:v>145.4</x:v>
      </x:c>
    </x:row>
    <x:row r="167">
      <x:c r="A167" s="34" t="n">
        <x:v>166</x:v>
      </x:c>
      <x:c r="B167" s="34" t="n">
        <x:v>102</x:v>
      </x:c>
      <x:c r="C167" s="34" t="n">
        <x:v>25</x:v>
      </x:c>
      <x:c r="D167" t="str">
        <x:v>Roteador Wi-Fi AC1200</x:v>
      </x:c>
      <x:c r="E167" t="str">
        <x:v>Rede</x:v>
      </x:c>
      <x:c r="F167" s="34" t="n">
        <x:v>6</x:v>
      </x:c>
      <x:c r="G167" t="str">
        <x:v>Connect Rede</x:v>
      </x:c>
      <x:c r="H167" s="34" t="n">
        <x:v>1</x:v>
      </x:c>
      <x:c r="I167" s="36" t="n">
        <x:v>249.9</x:v>
      </x:c>
      <x:c r="J167" s="38" t="n">
        <x:v>0.05</x:v>
      </x:c>
      <x:c r="K167" s="36" t="n">
        <x:v>237.41</x:v>
      </x:c>
      <x:c r="L167" s="36" t="n">
        <x:v>237.41</x:v>
      </x:c>
    </x:row>
    <x:row r="168">
      <x:c r="A168" s="34" t="n">
        <x:v>167</x:v>
      </x:c>
      <x:c r="B168" s="34" t="n">
        <x:v>102</x:v>
      </x:c>
      <x:c r="C168" s="34" t="n">
        <x:v>18</x:v>
      </x:c>
      <x:c r="D168" t="str">
        <x:v>Cooler para Processador</x:v>
      </x:c>
      <x:c r="E168" t="str">
        <x:v>Componentes</x:v>
      </x:c>
      <x:c r="F168" s="34" t="n">
        <x:v>2</x:v>
      </x:c>
      <x:c r="G168" t="str">
        <x:v>Mega Componentes</x:v>
      </x:c>
      <x:c r="H168" s="34" t="n">
        <x:v>1</x:v>
      </x:c>
      <x:c r="I168" s="36" t="n">
        <x:v>99.9</x:v>
      </x:c>
      <x:c r="J168" s="38" t="n">
        <x:v>0</x:v>
      </x:c>
      <x:c r="K168" s="36" t="n">
        <x:v>99.9</x:v>
      </x:c>
      <x:c r="L168" s="36" t="n">
        <x:v>99.9</x:v>
      </x:c>
    </x:row>
    <x:row r="169">
      <x:c r="A169" s="34" t="n">
        <x:v>168</x:v>
      </x:c>
      <x:c r="B169" s="34" t="n">
        <x:v>103</x:v>
      </x:c>
      <x:c r="C169" s="34" t="n">
        <x:v>9</x:v>
      </x:c>
      <x:c r="D169" t="str">
        <x:v>SSD 240GB SATA</x:v>
      </x:c>
      <x:c r="E169" t="str">
        <x:v>Armazenamento</x:v>
      </x:c>
      <x:c r="F169" s="34" t="n">
        <x:v>2</x:v>
      </x:c>
      <x:c r="G169" t="str">
        <x:v>Mega Componentes</x:v>
      </x:c>
      <x:c r="H169" s="34" t="n">
        <x:v>1</x:v>
      </x:c>
      <x:c r="I169" s="36" t="n">
        <x:v>169.9</x:v>
      </x:c>
      <x:c r="J169" s="38" t="n">
        <x:v>0.05</x:v>
      </x:c>
      <x:c r="K169" s="36" t="n">
        <x:v>161.41</x:v>
      </x:c>
      <x:c r="L169" s="36" t="n">
        <x:v>161.41</x:v>
      </x:c>
    </x:row>
    <x:row r="170">
      <x:c r="A170" s="34" t="n">
        <x:v>169</x:v>
      </x:c>
      <x:c r="B170" s="34" t="n">
        <x:v>103</x:v>
      </x:c>
      <x:c r="C170" s="34" t="n">
        <x:v>14</x:v>
      </x:c>
      <x:c r="D170" t="str">
        <x:v>Memória RAM 16GB DDR4</x:v>
      </x:c>
      <x:c r="E170" t="str">
        <x:v>Componentes</x:v>
      </x:c>
      <x:c r="F170" s="34" t="n">
        <x:v>2</x:v>
      </x:c>
      <x:c r="G170" t="str">
        <x:v>Mega Componentes</x:v>
      </x:c>
      <x:c r="H170" s="34" t="n">
        <x:v>1</x:v>
      </x:c>
      <x:c r="I170" s="36" t="n">
        <x:v>319.9</x:v>
      </x:c>
      <x:c r="J170" s="38" t="n">
        <x:v>0.1</x:v>
      </x:c>
      <x:c r="K170" s="36" t="n">
        <x:v>287.91</x:v>
      </x:c>
      <x:c r="L170" s="36" t="n">
        <x:v>287.91</x:v>
      </x:c>
    </x:row>
    <x:row r="171">
      <x:c r="A171" s="34" t="n">
        <x:v>170</x:v>
      </x:c>
      <x:c r="B171" s="34" t="n">
        <x:v>103</x:v>
      </x:c>
      <x:c r="C171" s="34" t="n">
        <x:v>15</x:v>
      </x:c>
      <x:c r="D171" t="str">
        <x:v>Fonte 500W 80 Plus</x:v>
      </x:c>
      <x:c r="E171" t="str">
        <x:v>Componentes</x:v>
      </x:c>
      <x:c r="F171" s="34" t="n">
        <x:v>5</x:v>
      </x:c>
      <x:c r="G171" t="str">
        <x:v>FastHardware</x:v>
      </x:c>
      <x:c r="H171" s="34" t="n">
        <x:v>1</x:v>
      </x:c>
      <x:c r="I171" s="36" t="n">
        <x:v>289.9</x:v>
      </x:c>
      <x:c r="J171" s="38" t="n">
        <x:v>0.03</x:v>
      </x:c>
      <x:c r="K171" s="36" t="n">
        <x:v>281.2</x:v>
      </x:c>
      <x:c r="L171" s="36" t="n">
        <x:v>281.2</x:v>
      </x:c>
    </x:row>
    <x:row r="172">
      <x:c r="A172" s="34" t="n">
        <x:v>171</x:v>
      </x:c>
      <x:c r="B172" s="34" t="n">
        <x:v>104</x:v>
      </x:c>
      <x:c r="C172" s="34" t="n">
        <x:v>2</x:v>
      </x:c>
      <x:c r="D172" t="str">
        <x:v>Teclado Membrana ABNT2</x:v>
      </x:c>
      <x:c r="E172" t="str">
        <x:v>Periféricos</x:v>
      </x:c>
      <x:c r="F172" s="34" t="n">
        <x:v>1</x:v>
      </x:c>
      <x:c r="G172" t="str">
        <x:v>TechDistribuidora Brasil</x:v>
      </x:c>
      <x:c r="H172" s="34" t="n">
        <x:v>1</x:v>
      </x:c>
      <x:c r="I172" s="36" t="n">
        <x:v>89.9</x:v>
      </x:c>
      <x:c r="J172" s="38" t="n">
        <x:v>0</x:v>
      </x:c>
      <x:c r="K172" s="36" t="n">
        <x:v>89.9</x:v>
      </x:c>
      <x:c r="L172" s="36" t="n">
        <x:v>89.9</x:v>
      </x:c>
    </x:row>
    <x:row r="173">
      <x:c r="A173" s="34" t="n">
        <x:v>172</x:v>
      </x:c>
      <x:c r="B173" s="34" t="n">
        <x:v>104</x:v>
      </x:c>
      <x:c r="C173" s="34" t="n">
        <x:v>25</x:v>
      </x:c>
      <x:c r="D173" t="str">
        <x:v>Roteador Wi-Fi AC1200</x:v>
      </x:c>
      <x:c r="E173" t="str">
        <x:v>Rede</x:v>
      </x:c>
      <x:c r="F173" s="34" t="n">
        <x:v>6</x:v>
      </x:c>
      <x:c r="G173" t="str">
        <x:v>Connect Rede</x:v>
      </x:c>
      <x:c r="H173" s="34" t="n">
        <x:v>1</x:v>
      </x:c>
      <x:c r="I173" s="36" t="n">
        <x:v>249.9</x:v>
      </x:c>
      <x:c r="J173" s="38" t="n">
        <x:v>0.03</x:v>
      </x:c>
      <x:c r="K173" s="36" t="n">
        <x:v>242.4</x:v>
      </x:c>
      <x:c r="L173" s="36" t="n">
        <x:v>242.4</x:v>
      </x:c>
    </x:row>
    <x:row r="174">
      <x:c r="A174" s="34" t="n">
        <x:v>173</x:v>
      </x:c>
      <x:c r="B174" s="34" t="n">
        <x:v>104</x:v>
      </x:c>
      <x:c r="C174" s="34" t="n">
        <x:v>1</x:v>
      </x:c>
      <x:c r="D174" t="str">
        <x:v>Mouse Óptico USB</x:v>
      </x:c>
      <x:c r="E174" t="str">
        <x:v>Periféricos</x:v>
      </x:c>
      <x:c r="F174" s="34" t="n">
        <x:v>1</x:v>
      </x:c>
      <x:c r="G174" t="str">
        <x:v>TechDistribuidora Brasil</x:v>
      </x:c>
      <x:c r="H174" s="34" t="n">
        <x:v>3</x:v>
      </x:c>
      <x:c r="I174" s="36" t="n">
        <x:v>49.9</x:v>
      </x:c>
      <x:c r="J174" s="38" t="n">
        <x:v>0.1</x:v>
      </x:c>
      <x:c r="K174" s="36" t="n">
        <x:v>44.91</x:v>
      </x:c>
      <x:c r="L174" s="36" t="n">
        <x:v>134.73</x:v>
      </x:c>
    </x:row>
    <x:row r="175">
      <x:c r="A175" s="34" t="n">
        <x:v>174</x:v>
      </x:c>
      <x:c r="B175" s="34" t="n">
        <x:v>105</x:v>
      </x:c>
      <x:c r="C175" s="34" t="n">
        <x:v>10</x:v>
      </x:c>
      <x:c r="D175" t="str">
        <x:v>SSD 480GB SATA</x:v>
      </x:c>
      <x:c r="E175" t="str">
        <x:v>Armazenamento</x:v>
      </x:c>
      <x:c r="F175" s="34" t="n">
        <x:v>2</x:v>
      </x:c>
      <x:c r="G175" t="str">
        <x:v>Mega Componentes</x:v>
      </x:c>
      <x:c r="H175" s="34" t="n">
        <x:v>2</x:v>
      </x:c>
      <x:c r="I175" s="36" t="n">
        <x:v>259.9</x:v>
      </x:c>
      <x:c r="J175" s="38" t="n">
        <x:v>0.05</x:v>
      </x:c>
      <x:c r="K175" s="36" t="n">
        <x:v>246.9</x:v>
      </x:c>
      <x:c r="L175" s="36" t="n">
        <x:v>493.8</x:v>
      </x:c>
    </x:row>
    <x:row r="176">
      <x:c r="A176" s="34" t="n">
        <x:v>175</x:v>
      </x:c>
      <x:c r="B176" s="34" t="n">
        <x:v>106</x:v>
      </x:c>
      <x:c r="C176" s="34" t="n">
        <x:v>27</x:v>
      </x:c>
      <x:c r="D176" t="str">
        <x:v>Placa de Rede PCIe</x:v>
      </x:c>
      <x:c r="E176" t="str">
        <x:v>Rede</x:v>
      </x:c>
      <x:c r="F176" s="34" t="n">
        <x:v>6</x:v>
      </x:c>
      <x:c r="G176" t="str">
        <x:v>Connect Rede</x:v>
      </x:c>
      <x:c r="H176" s="34" t="n">
        <x:v>2</x:v>
      </x:c>
      <x:c r="I176" s="36" t="n">
        <x:v>79.9</x:v>
      </x:c>
      <x:c r="J176" s="38" t="n">
        <x:v>0</x:v>
      </x:c>
      <x:c r="K176" s="36" t="n">
        <x:v>79.9</x:v>
      </x:c>
      <x:c r="L176" s="36" t="n">
        <x:v>159.8</x:v>
      </x:c>
    </x:row>
    <x:row r="177">
      <x:c r="A177" s="34" t="n">
        <x:v>176</x:v>
      </x:c>
      <x:c r="B177" s="34" t="n">
        <x:v>107</x:v>
      </x:c>
      <x:c r="C177" s="34" t="n">
        <x:v>29</x:v>
      </x:c>
      <x:c r="D177" t="str">
        <x:v>Impressora Multifuncional</x:v>
      </x:c>
      <x:c r="E177" t="str">
        <x:v>Office</x:v>
      </x:c>
      <x:c r="F177" s="34" t="n">
        <x:v>7</x:v>
      </x:c>
      <x:c r="G177" t="str">
        <x:v>OfficeTech Supply</x:v>
      </x:c>
      <x:c r="H177" s="34" t="n">
        <x:v>1</x:v>
      </x:c>
      <x:c r="I177" s="36" t="n">
        <x:v>699.9</x:v>
      </x:c>
      <x:c r="J177" s="38" t="n">
        <x:v>0</x:v>
      </x:c>
      <x:c r="K177" s="36" t="n">
        <x:v>699.9</x:v>
      </x:c>
      <x:c r="L177" s="36" t="n">
        <x:v>699.9</x:v>
      </x:c>
    </x:row>
    <x:row r="178">
      <x:c r="A178" s="34" t="n">
        <x:v>177</x:v>
      </x:c>
      <x:c r="B178" s="34" t="n">
        <x:v>107</x:v>
      </x:c>
      <x:c r="C178" s="34" t="n">
        <x:v>4</x:v>
      </x:c>
      <x:c r="D178" t="str">
        <x:v>Webcam Full HD</x:v>
      </x:c>
      <x:c r="E178" t="str">
        <x:v>Periféricos</x:v>
      </x:c>
      <x:c r="F178" s="34" t="n">
        <x:v>3</x:v>
      </x:c>
      <x:c r="G178" t="str">
        <x:v>Prime Eletrônicos</x:v>
      </x:c>
      <x:c r="H178" s="34" t="n">
        <x:v>1</x:v>
      </x:c>
      <x:c r="I178" s="36" t="n">
        <x:v>199.9</x:v>
      </x:c>
      <x:c r="J178" s="38" t="n">
        <x:v>0.05</x:v>
      </x:c>
      <x:c r="K178" s="36" t="n">
        <x:v>189.91</x:v>
      </x:c>
      <x:c r="L178" s="36" t="n">
        <x:v>189.91</x:v>
      </x:c>
    </x:row>
    <x:row r="179">
      <x:c r="A179" s="34" t="n">
        <x:v>178</x:v>
      </x:c>
      <x:c r="B179" s="34" t="n">
        <x:v>108</x:v>
      </x:c>
      <x:c r="C179" s="34" t="n">
        <x:v>25</x:v>
      </x:c>
      <x:c r="D179" t="str">
        <x:v>Roteador Wi-Fi AC1200</x:v>
      </x:c>
      <x:c r="E179" t="str">
        <x:v>Rede</x:v>
      </x:c>
      <x:c r="F179" s="34" t="n">
        <x:v>6</x:v>
      </x:c>
      <x:c r="G179" t="str">
        <x:v>Connect Rede</x:v>
      </x:c>
      <x:c r="H179" s="34" t="n">
        <x:v>1</x:v>
      </x:c>
      <x:c r="I179" s="36" t="n">
        <x:v>249.9</x:v>
      </x:c>
      <x:c r="J179" s="38" t="n">
        <x:v>0</x:v>
      </x:c>
      <x:c r="K179" s="36" t="n">
        <x:v>249.9</x:v>
      </x:c>
      <x:c r="L179" s="36" t="n">
        <x:v>249.9</x:v>
      </x:c>
    </x:row>
    <x:row r="180">
      <x:c r="A180" s="34" t="n">
        <x:v>179</x:v>
      </x:c>
      <x:c r="B180" s="34" t="n">
        <x:v>109</x:v>
      </x:c>
      <x:c r="C180" s="34" t="n">
        <x:v>11</x:v>
      </x:c>
      <x:c r="D180" t="str">
        <x:v>SSD NVMe 500GB</x:v>
      </x:c>
      <x:c r="E180" t="str">
        <x:v>Armazenamento</x:v>
      </x:c>
      <x:c r="F180" s="34" t="n">
        <x:v>5</x:v>
      </x:c>
      <x:c r="G180" t="str">
        <x:v>FastHardware</x:v>
      </x:c>
      <x:c r="H180" s="34" t="n">
        <x:v>2</x:v>
      </x:c>
      <x:c r="I180" s="36" t="n">
        <x:v>329.9</x:v>
      </x:c>
      <x:c r="J180" s="38" t="n">
        <x:v>0</x:v>
      </x:c>
      <x:c r="K180" s="36" t="n">
        <x:v>329.9</x:v>
      </x:c>
      <x:c r="L180" s="36" t="n">
        <x:v>659.8</x:v>
      </x:c>
    </x:row>
    <x:row r="181">
      <x:c r="A181" s="34" t="n">
        <x:v>180</x:v>
      </x:c>
      <x:c r="B181" s="34" t="n">
        <x:v>109</x:v>
      </x:c>
      <x:c r="C181" s="34" t="n">
        <x:v>5</x:v>
      </x:c>
      <x:c r="D181" t="str">
        <x:v>Mousepad Grande</x:v>
      </x:c>
      <x:c r="E181" t="str">
        <x:v>Acessórios</x:v>
      </x:c>
      <x:c r="F181" s="34" t="n">
        <x:v>3</x:v>
      </x:c>
      <x:c r="G181" t="str">
        <x:v>Prime Eletrônicos</x:v>
      </x:c>
      <x:c r="H181" s="34" t="n">
        <x:v>1</x:v>
      </x:c>
      <x:c r="I181" s="36" t="n">
        <x:v>39.9</x:v>
      </x:c>
      <x:c r="J181" s="38" t="n">
        <x:v>0</x:v>
      </x:c>
      <x:c r="K181" s="36" t="n">
        <x:v>39.9</x:v>
      </x:c>
      <x:c r="L181" s="36" t="n">
        <x:v>39.9</x:v>
      </x:c>
    </x:row>
    <x:row r="182">
      <x:c r="A182" s="34" t="n">
        <x:v>181</x:v>
      </x:c>
      <x:c r="B182" s="34" t="n">
        <x:v>110</x:v>
      </x:c>
      <x:c r="C182" s="34" t="n">
        <x:v>2</x:v>
      </x:c>
      <x:c r="D182" t="str">
        <x:v>Teclado Membrana ABNT2</x:v>
      </x:c>
      <x:c r="E182" t="str">
        <x:v>Periféricos</x:v>
      </x:c>
      <x:c r="F182" s="34" t="n">
        <x:v>1</x:v>
      </x:c>
      <x:c r="G182" t="str">
        <x:v>TechDistribuidora Brasil</x:v>
      </x:c>
      <x:c r="H182" s="34" t="n">
        <x:v>1</x:v>
      </x:c>
      <x:c r="I182" s="36" t="n">
        <x:v>89.9</x:v>
      </x:c>
      <x:c r="J182" s="38" t="n">
        <x:v>0.05</x:v>
      </x:c>
      <x:c r="K182" s="36" t="n">
        <x:v>85.41</x:v>
      </x:c>
      <x:c r="L182" s="36" t="n">
        <x:v>85.41</x:v>
      </x:c>
    </x:row>
    <x:row r="183">
      <x:c r="A183" s="34" t="n">
        <x:v>182</x:v>
      </x:c>
      <x:c r="B183" s="34" t="n">
        <x:v>111</x:v>
      </x:c>
      <x:c r="C183" s="34" t="n">
        <x:v>9</x:v>
      </x:c>
      <x:c r="D183" t="str">
        <x:v>SSD 240GB SATA</x:v>
      </x:c>
      <x:c r="E183" t="str">
        <x:v>Armazenamento</x:v>
      </x:c>
      <x:c r="F183" s="34" t="n">
        <x:v>2</x:v>
      </x:c>
      <x:c r="G183" t="str">
        <x:v>Mega Componentes</x:v>
      </x:c>
      <x:c r="H183" s="34" t="n">
        <x:v>1</x:v>
      </x:c>
      <x:c r="I183" s="36" t="n">
        <x:v>169.9</x:v>
      </x:c>
      <x:c r="J183" s="38" t="n">
        <x:v>0.05</x:v>
      </x:c>
      <x:c r="K183" s="36" t="n">
        <x:v>161.41</x:v>
      </x:c>
      <x:c r="L183" s="36" t="n">
        <x:v>161.41</x:v>
      </x:c>
    </x:row>
    <x:row r="184">
      <x:c r="A184" s="34" t="n">
        <x:v>183</x:v>
      </x:c>
      <x:c r="B184" s="34" t="n">
        <x:v>111</x:v>
      </x:c>
      <x:c r="C184" s="34" t="n">
        <x:v>28</x:v>
      </x:c>
      <x:c r="D184" t="str">
        <x:v>Repetidor Wi-Fi</x:v>
      </x:c>
      <x:c r="E184" t="str">
        <x:v>Rede</x:v>
      </x:c>
      <x:c r="F184" s="34" t="n">
        <x:v>6</x:v>
      </x:c>
      <x:c r="G184" t="str">
        <x:v>Connect Rede</x:v>
      </x:c>
      <x:c r="H184" s="34" t="n">
        <x:v>1</x:v>
      </x:c>
      <x:c r="I184" s="36" t="n">
        <x:v>139.9</x:v>
      </x:c>
      <x:c r="J184" s="38" t="n">
        <x:v>0</x:v>
      </x:c>
      <x:c r="K184" s="36" t="n">
        <x:v>139.9</x:v>
      </x:c>
      <x:c r="L184" s="36" t="n">
        <x:v>139.9</x:v>
      </x:c>
    </x:row>
    <x:row r="185">
      <x:c r="A185" s="34" t="n">
        <x:v>184</x:v>
      </x:c>
      <x:c r="B185" s="34" t="n">
        <x:v>112</x:v>
      </x:c>
      <x:c r="C185" s="34" t="n">
        <x:v>10</x:v>
      </x:c>
      <x:c r="D185" t="str">
        <x:v>SSD 480GB SATA</x:v>
      </x:c>
      <x:c r="E185" t="str">
        <x:v>Armazenamento</x:v>
      </x:c>
      <x:c r="F185" s="34" t="n">
        <x:v>2</x:v>
      </x:c>
      <x:c r="G185" t="str">
        <x:v>Mega Componentes</x:v>
      </x:c>
      <x:c r="H185" s="34" t="n">
        <x:v>1</x:v>
      </x:c>
      <x:c r="I185" s="36" t="n">
        <x:v>259.9</x:v>
      </x:c>
      <x:c r="J185" s="38" t="n">
        <x:v>0</x:v>
      </x:c>
      <x:c r="K185" s="36" t="n">
        <x:v>259.9</x:v>
      </x:c>
      <x:c r="L185" s="36" t="n">
        <x:v>259.9</x:v>
      </x:c>
    </x:row>
    <x:row r="186">
      <x:c r="A186" s="34" t="n">
        <x:v>185</x:v>
      </x:c>
      <x:c r="B186" s="34" t="n">
        <x:v>113</x:v>
      </x:c>
      <x:c r="C186" s="34" t="n">
        <x:v>13</x:v>
      </x:c>
      <x:c r="D186" t="str">
        <x:v>Memória RAM 8GB DDR4</x:v>
      </x:c>
      <x:c r="E186" t="str">
        <x:v>Componentes</x:v>
      </x:c>
      <x:c r="F186" s="34" t="n">
        <x:v>2</x:v>
      </x:c>
      <x:c r="G186" t="str">
        <x:v>Mega Componentes</x:v>
      </x:c>
      <x:c r="H186" s="34" t="n">
        <x:v>1</x:v>
      </x:c>
      <x:c r="I186" s="36" t="n">
        <x:v>179.9</x:v>
      </x:c>
      <x:c r="J186" s="38" t="n">
        <x:v>0</x:v>
      </x:c>
      <x:c r="K186" s="36" t="n">
        <x:v>179.9</x:v>
      </x:c>
      <x:c r="L186" s="36" t="n">
        <x:v>179.9</x:v>
      </x:c>
    </x:row>
    <x:row r="187">
      <x:c r="A187" s="34" t="n">
        <x:v>186</x:v>
      </x:c>
      <x:c r="B187" s="34" t="n">
        <x:v>113</x:v>
      </x:c>
      <x:c r="C187" s="34" t="n">
        <x:v>18</x:v>
      </x:c>
      <x:c r="D187" t="str">
        <x:v>Cooler para Processador</x:v>
      </x:c>
      <x:c r="E187" t="str">
        <x:v>Componentes</x:v>
      </x:c>
      <x:c r="F187" s="34" t="n">
        <x:v>2</x:v>
      </x:c>
      <x:c r="G187" t="str">
        <x:v>Mega Componentes</x:v>
      </x:c>
      <x:c r="H187" s="34" t="n">
        <x:v>1</x:v>
      </x:c>
      <x:c r="I187" s="36" t="n">
        <x:v>99.9</x:v>
      </x:c>
      <x:c r="J187" s="38" t="n">
        <x:v>0.03</x:v>
      </x:c>
      <x:c r="K187" s="36" t="n">
        <x:v>96.9</x:v>
      </x:c>
      <x:c r="L187" s="36" t="n">
        <x:v>96.9</x:v>
      </x:c>
    </x:row>
    <x:row r="188">
      <x:c r="A188" s="34" t="n">
        <x:v>187</x:v>
      </x:c>
      <x:c r="B188" s="34" t="n">
        <x:v>114</x:v>
      </x:c>
      <x:c r="C188" s="34" t="n">
        <x:v>11</x:v>
      </x:c>
      <x:c r="D188" t="str">
        <x:v>SSD NVMe 500GB</x:v>
      </x:c>
      <x:c r="E188" t="str">
        <x:v>Armazenamento</x:v>
      </x:c>
      <x:c r="F188" s="34" t="n">
        <x:v>5</x:v>
      </x:c>
      <x:c r="G188" t="str">
        <x:v>FastHardware</x:v>
      </x:c>
      <x:c r="H188" s="34" t="n">
        <x:v>2</x:v>
      </x:c>
      <x:c r="I188" s="36" t="n">
        <x:v>329.9</x:v>
      </x:c>
      <x:c r="J188" s="38" t="n">
        <x:v>0.05</x:v>
      </x:c>
      <x:c r="K188" s="36" t="n">
        <x:v>313.4</x:v>
      </x:c>
      <x:c r="L188" s="36" t="n">
        <x:v>626.8</x:v>
      </x:c>
    </x:row>
    <x:row r="189">
      <x:c r="A189" s="34" t="n">
        <x:v>188</x:v>
      </x:c>
      <x:c r="B189" s="34" t="n">
        <x:v>115</x:v>
      </x:c>
      <x:c r="C189" s="34" t="n">
        <x:v>3</x:v>
      </x:c>
      <x:c r="D189" t="str">
        <x:v>Headset Gamer P2</x:v>
      </x:c>
      <x:c r="E189" t="str">
        <x:v>Periféricos</x:v>
      </x:c>
      <x:c r="F189" s="34" t="n">
        <x:v>5</x:v>
      </x:c>
      <x:c r="G189" t="str">
        <x:v>FastHardware</x:v>
      </x:c>
      <x:c r="H189" s="34" t="n">
        <x:v>1</x:v>
      </x:c>
      <x:c r="I189" s="36" t="n">
        <x:v>159.9</x:v>
      </x:c>
      <x:c r="J189" s="38" t="n">
        <x:v>0</x:v>
      </x:c>
      <x:c r="K189" s="36" t="n">
        <x:v>159.9</x:v>
      </x:c>
      <x:c r="L189" s="36" t="n">
        <x:v>159.9</x:v>
      </x:c>
    </x:row>
    <x:row r="190">
      <x:c r="A190" s="34" t="n">
        <x:v>189</x:v>
      </x:c>
      <x:c r="B190" s="34" t="n">
        <x:v>115</x:v>
      </x:c>
      <x:c r="C190" s="34" t="n">
        <x:v>6</x:v>
      </x:c>
      <x:c r="D190" t="str">
        <x:v>Cabo HDMI 2m</x:v>
      </x:c>
      <x:c r="E190" t="str">
        <x:v>Acessórios</x:v>
      </x:c>
      <x:c r="F190" s="34" t="n">
        <x:v>3</x:v>
      </x:c>
      <x:c r="G190" t="str">
        <x:v>Prime Eletrônicos</x:v>
      </x:c>
      <x:c r="H190" s="34" t="n">
        <x:v>1</x:v>
      </x:c>
      <x:c r="I190" s="36" t="n">
        <x:v>29.9</x:v>
      </x:c>
      <x:c r="J190" s="38" t="n">
        <x:v>0</x:v>
      </x:c>
      <x:c r="K190" s="36" t="n">
        <x:v>29.9</x:v>
      </x:c>
      <x:c r="L190" s="36" t="n">
        <x:v>29.9</x:v>
      </x:c>
    </x:row>
    <x:row r="191">
      <x:c r="A191" s="34" t="n">
        <x:v>190</x:v>
      </x:c>
      <x:c r="B191" s="34" t="n">
        <x:v>116</x:v>
      </x:c>
      <x:c r="C191" s="34" t="n">
        <x:v>8</x:v>
      </x:c>
      <x:c r="D191" t="str">
        <x:v>Suporte Articulado para Monitor</x:v>
      </x:c>
      <x:c r="E191" t="str">
        <x:v>Acessórios</x:v>
      </x:c>
      <x:c r="F191" s="34" t="n">
        <x:v>7</x:v>
      </x:c>
      <x:c r="G191" t="str">
        <x:v>OfficeTech Supply</x:v>
      </x:c>
      <x:c r="H191" s="34" t="n">
        <x:v>1</x:v>
      </x:c>
      <x:c r="I191" s="36" t="n">
        <x:v>149.9</x:v>
      </x:c>
      <x:c r="J191" s="38" t="n">
        <x:v>0.08</x:v>
      </x:c>
      <x:c r="K191" s="36" t="n">
        <x:v>137.91</x:v>
      </x:c>
      <x:c r="L191" s="36" t="n">
        <x:v>137.91</x:v>
      </x:c>
    </x:row>
    <x:row r="192">
      <x:c r="A192" s="34" t="n">
        <x:v>191</x:v>
      </x:c>
      <x:c r="B192" s="34" t="n">
        <x:v>116</x:v>
      </x:c>
      <x:c r="C192" s="34" t="n">
        <x:v>3</x:v>
      </x:c>
      <x:c r="D192" t="str">
        <x:v>Headset Gamer P2</x:v>
      </x:c>
      <x:c r="E192" t="str">
        <x:v>Periféricos</x:v>
      </x:c>
      <x:c r="F192" s="34" t="n">
        <x:v>5</x:v>
      </x:c>
      <x:c r="G192" t="str">
        <x:v>FastHardware</x:v>
      </x:c>
      <x:c r="H192" s="34" t="n">
        <x:v>1</x:v>
      </x:c>
      <x:c r="I192" s="36" t="n">
        <x:v>159.9</x:v>
      </x:c>
      <x:c r="J192" s="38" t="n">
        <x:v>0.03</x:v>
      </x:c>
      <x:c r="K192" s="36" t="n">
        <x:v>155.1</x:v>
      </x:c>
      <x:c r="L192" s="36" t="n">
        <x:v>155.1</x:v>
      </x:c>
    </x:row>
    <x:row r="193">
      <x:c r="A193" s="34" t="n">
        <x:v>192</x:v>
      </x:c>
      <x:c r="B193" s="34" t="n">
        <x:v>117</x:v>
      </x:c>
      <x:c r="C193" s="34" t="n">
        <x:v>4</x:v>
      </x:c>
      <x:c r="D193" t="str">
        <x:v>Webcam Full HD</x:v>
      </x:c>
      <x:c r="E193" t="str">
        <x:v>Periféricos</x:v>
      </x:c>
      <x:c r="F193" s="34" t="n">
        <x:v>3</x:v>
      </x:c>
      <x:c r="G193" t="str">
        <x:v>Prime Eletrônicos</x:v>
      </x:c>
      <x:c r="H193" s="34" t="n">
        <x:v>1</x:v>
      </x:c>
      <x:c r="I193" s="36" t="n">
        <x:v>199.9</x:v>
      </x:c>
      <x:c r="J193" s="38" t="n">
        <x:v>0.03</x:v>
      </x:c>
      <x:c r="K193" s="36" t="n">
        <x:v>193.9</x:v>
      </x:c>
      <x:c r="L193" s="36" t="n">
        <x:v>193.9</x:v>
      </x:c>
    </x:row>
    <x:row r="194">
      <x:c r="A194" s="34" t="n">
        <x:v>193</x:v>
      </x:c>
      <x:c r="B194" s="34" t="n">
        <x:v>117</x:v>
      </x:c>
      <x:c r="C194" s="34" t="n">
        <x:v>6</x:v>
      </x:c>
      <x:c r="D194" t="str">
        <x:v>Cabo HDMI 2m</x:v>
      </x:c>
      <x:c r="E194" t="str">
        <x:v>Acessórios</x:v>
      </x:c>
      <x:c r="F194" s="34" t="n">
        <x:v>3</x:v>
      </x:c>
      <x:c r="G194" t="str">
        <x:v>Prime Eletrônicos</x:v>
      </x:c>
      <x:c r="H194" s="34" t="n">
        <x:v>2</x:v>
      </x:c>
      <x:c r="I194" s="36" t="n">
        <x:v>29.9</x:v>
      </x:c>
      <x:c r="J194" s="38" t="n">
        <x:v>0.03</x:v>
      </x:c>
      <x:c r="K194" s="36" t="n">
        <x:v>29</x:v>
      </x:c>
      <x:c r="L194" s="36" t="n">
        <x:v>58</x:v>
      </x:c>
    </x:row>
    <x:row r="195">
      <x:c r="A195" s="34" t="n">
        <x:v>194</x:v>
      </x:c>
      <x:c r="B195" s="34" t="n">
        <x:v>117</x:v>
      </x:c>
      <x:c r="C195" s="34" t="n">
        <x:v>28</x:v>
      </x:c>
      <x:c r="D195" t="str">
        <x:v>Repetidor Wi-Fi</x:v>
      </x:c>
      <x:c r="E195" t="str">
        <x:v>Rede</x:v>
      </x:c>
      <x:c r="F195" s="34" t="n">
        <x:v>6</x:v>
      </x:c>
      <x:c r="G195" t="str">
        <x:v>Connect Rede</x:v>
      </x:c>
      <x:c r="H195" s="34" t="n">
        <x:v>1</x:v>
      </x:c>
      <x:c r="I195" s="36" t="n">
        <x:v>139.9</x:v>
      </x:c>
      <x:c r="J195" s="38" t="n">
        <x:v>0.03</x:v>
      </x:c>
      <x:c r="K195" s="36" t="n">
        <x:v>135.7</x:v>
      </x:c>
      <x:c r="L195" s="36" t="n">
        <x:v>135.7</x:v>
      </x:c>
    </x:row>
    <x:row r="196">
      <x:c r="A196" s="34" t="n">
        <x:v>195</x:v>
      </x:c>
      <x:c r="B196" s="34" t="n">
        <x:v>117</x:v>
      </x:c>
      <x:c r="C196" s="34" t="n">
        <x:v>5</x:v>
      </x:c>
      <x:c r="D196" t="str">
        <x:v>Mousepad Grande</x:v>
      </x:c>
      <x:c r="E196" t="str">
        <x:v>Acessórios</x:v>
      </x:c>
      <x:c r="F196" s="34" t="n">
        <x:v>3</x:v>
      </x:c>
      <x:c r="G196" t="str">
        <x:v>Prime Eletrônicos</x:v>
      </x:c>
      <x:c r="H196" s="34" t="n">
        <x:v>5</x:v>
      </x:c>
      <x:c r="I196" s="36" t="n">
        <x:v>39.9</x:v>
      </x:c>
      <x:c r="J196" s="38" t="n">
        <x:v>0</x:v>
      </x:c>
      <x:c r="K196" s="36" t="n">
        <x:v>39.9</x:v>
      </x:c>
      <x:c r="L196" s="36" t="n">
        <x:v>199.5</x:v>
      </x:c>
    </x:row>
    <x:row r="197">
      <x:c r="A197" s="34" t="n">
        <x:v>196</x:v>
      </x:c>
      <x:c r="B197" s="34" t="n">
        <x:v>118</x:v>
      </x:c>
      <x:c r="C197" s="34" t="n">
        <x:v>26</x:v>
      </x:c>
      <x:c r="D197" t="str">
        <x:v>Switch 8 Portas Gigabit</x:v>
      </x:c>
      <x:c r="E197" t="str">
        <x:v>Rede</x:v>
      </x:c>
      <x:c r="F197" s="34" t="n">
        <x:v>6</x:v>
      </x:c>
      <x:c r="G197" t="str">
        <x:v>Connect Rede</x:v>
      </x:c>
      <x:c r="H197" s="34" t="n">
        <x:v>1</x:v>
      </x:c>
      <x:c r="I197" s="36" t="n">
        <x:v>189.9</x:v>
      </x:c>
      <x:c r="J197" s="38" t="n">
        <x:v>0</x:v>
      </x:c>
      <x:c r="K197" s="36" t="n">
        <x:v>189.9</x:v>
      </x:c>
      <x:c r="L197" s="36" t="n">
        <x:v>189.9</x:v>
      </x:c>
    </x:row>
    <x:row r="198">
      <x:c r="A198" s="34" t="n">
        <x:v>197</x:v>
      </x:c>
      <x:c r="B198" s="34" t="n">
        <x:v>118</x:v>
      </x:c>
      <x:c r="C198" s="34" t="n">
        <x:v>1</x:v>
      </x:c>
      <x:c r="D198" t="str">
        <x:v>Mouse Óptico USB</x:v>
      </x:c>
      <x:c r="E198" t="str">
        <x:v>Periféricos</x:v>
      </x:c>
      <x:c r="F198" s="34" t="n">
        <x:v>1</x:v>
      </x:c>
      <x:c r="G198" t="str">
        <x:v>TechDistribuidora Brasil</x:v>
      </x:c>
      <x:c r="H198" s="34" t="n">
        <x:v>1</x:v>
      </x:c>
      <x:c r="I198" s="36" t="n">
        <x:v>49.9</x:v>
      </x:c>
      <x:c r="J198" s="38" t="n">
        <x:v>0.03</x:v>
      </x:c>
      <x:c r="K198" s="36" t="n">
        <x:v>48.4</x:v>
      </x:c>
      <x:c r="L198" s="36" t="n">
        <x:v>48.4</x:v>
      </x:c>
    </x:row>
    <x:row r="199">
      <x:c r="A199" s="34" t="n">
        <x:v>198</x:v>
      </x:c>
      <x:c r="B199" s="34" t="n">
        <x:v>118</x:v>
      </x:c>
      <x:c r="C199" s="34" t="n">
        <x:v>25</x:v>
      </x:c>
      <x:c r="D199" t="str">
        <x:v>Roteador Wi-Fi AC1200</x:v>
      </x:c>
      <x:c r="E199" t="str">
        <x:v>Rede</x:v>
      </x:c>
      <x:c r="F199" s="34" t="n">
        <x:v>6</x:v>
      </x:c>
      <x:c r="G199" t="str">
        <x:v>Connect Rede</x:v>
      </x:c>
      <x:c r="H199" s="34" t="n">
        <x:v>1</x:v>
      </x:c>
      <x:c r="I199" s="36" t="n">
        <x:v>249.9</x:v>
      </x:c>
      <x:c r="J199" s="38" t="n">
        <x:v>0.1</x:v>
      </x:c>
      <x:c r="K199" s="36" t="n">
        <x:v>224.91</x:v>
      </x:c>
      <x:c r="L199" s="36" t="n">
        <x:v>224.91</x:v>
      </x:c>
    </x:row>
    <x:row r="200">
      <x:c r="A200" s="34" t="n">
        <x:v>199</x:v>
      </x:c>
      <x:c r="B200" s="34" t="n">
        <x:v>119</x:v>
      </x:c>
      <x:c r="C200" s="34" t="n">
        <x:v>25</x:v>
      </x:c>
      <x:c r="D200" t="str">
        <x:v>Roteador Wi-Fi AC1200</x:v>
      </x:c>
      <x:c r="E200" t="str">
        <x:v>Rede</x:v>
      </x:c>
      <x:c r="F200" s="34" t="n">
        <x:v>6</x:v>
      </x:c>
      <x:c r="G200" t="str">
        <x:v>Connect Rede</x:v>
      </x:c>
      <x:c r="H200" s="34" t="n">
        <x:v>1</x:v>
      </x:c>
      <x:c r="I200" s="36" t="n">
        <x:v>249.9</x:v>
      </x:c>
      <x:c r="J200" s="38" t="n">
        <x:v>0.03</x:v>
      </x:c>
      <x:c r="K200" s="36" t="n">
        <x:v>242.4</x:v>
      </x:c>
      <x:c r="L200" s="36" t="n">
        <x:v>242.4</x:v>
      </x:c>
    </x:row>
    <x:row r="201">
      <x:c r="A201" s="34" t="n">
        <x:v>200</x:v>
      </x:c>
      <x:c r="B201" s="34" t="n">
        <x:v>119</x:v>
      </x:c>
      <x:c r="C201" s="34" t="n">
        <x:v>6</x:v>
      </x:c>
      <x:c r="D201" t="str">
        <x:v>Cabo HDMI 2m</x:v>
      </x:c>
      <x:c r="E201" t="str">
        <x:v>Acessórios</x:v>
      </x:c>
      <x:c r="F201" s="34" t="n">
        <x:v>3</x:v>
      </x:c>
      <x:c r="G201" t="str">
        <x:v>Prime Eletrônicos</x:v>
      </x:c>
      <x:c r="H201" s="34" t="n">
        <x:v>1</x:v>
      </x:c>
      <x:c r="I201" s="36" t="n">
        <x:v>29.9</x:v>
      </x:c>
      <x:c r="J201" s="38" t="n">
        <x:v>0.12</x:v>
      </x:c>
      <x:c r="K201" s="36" t="n">
        <x:v>26.31</x:v>
      </x:c>
      <x:c r="L201" s="36" t="n">
        <x:v>26.31</x:v>
      </x:c>
    </x:row>
    <x:row r="202">
      <x:c r="A202" s="34" t="n">
        <x:v>201</x:v>
      </x:c>
      <x:c r="B202" s="34" t="n">
        <x:v>120</x:v>
      </x:c>
      <x:c r="C202" s="34" t="n">
        <x:v>6</x:v>
      </x:c>
      <x:c r="D202" t="str">
        <x:v>Cabo HDMI 2m</x:v>
      </x:c>
      <x:c r="E202" t="str">
        <x:v>Acessórios</x:v>
      </x:c>
      <x:c r="F202" s="34" t="n">
        <x:v>3</x:v>
      </x:c>
      <x:c r="G202" t="str">
        <x:v>Prime Eletrônicos</x:v>
      </x:c>
      <x:c r="H202" s="34" t="n">
        <x:v>2</x:v>
      </x:c>
      <x:c r="I202" s="36" t="n">
        <x:v>29.9</x:v>
      </x:c>
      <x:c r="J202" s="38" t="n">
        <x:v>0</x:v>
      </x:c>
      <x:c r="K202" s="36" t="n">
        <x:v>29.9</x:v>
      </x:c>
      <x:c r="L202" s="36" t="n">
        <x:v>59.8</x:v>
      </x:c>
    </x:row>
    <x:row r="203">
      <x:c r="A203" s="34" t="n">
        <x:v>202</x:v>
      </x:c>
      <x:c r="B203" s="34" t="n">
        <x:v>120</x:v>
      </x:c>
      <x:c r="C203" s="34" t="n">
        <x:v>25</x:v>
      </x:c>
      <x:c r="D203" t="str">
        <x:v>Roteador Wi-Fi AC1200</x:v>
      </x:c>
      <x:c r="E203" t="str">
        <x:v>Rede</x:v>
      </x:c>
      <x:c r="F203" s="34" t="n">
        <x:v>6</x:v>
      </x:c>
      <x:c r="G203" t="str">
        <x:v>Connect Rede</x:v>
      </x:c>
      <x:c r="H203" s="34" t="n">
        <x:v>3</x:v>
      </x:c>
      <x:c r="I203" s="36" t="n">
        <x:v>249.9</x:v>
      </x:c>
      <x:c r="J203" s="38" t="n">
        <x:v>0</x:v>
      </x:c>
      <x:c r="K203" s="36" t="n">
        <x:v>249.9</x:v>
      </x:c>
      <x:c r="L203" s="36" t="n">
        <x:v>749.7</x:v>
      </x:c>
    </x:row>
    <x:row r="204">
      <x:c r="A204" s="34" t="n">
        <x:v>203</x:v>
      </x:c>
      <x:c r="B204" s="34" t="n">
        <x:v>120</x:v>
      </x:c>
      <x:c r="C204" s="34" t="n">
        <x:v>2</x:v>
      </x:c>
      <x:c r="D204" t="str">
        <x:v>Teclado Membrana ABNT2</x:v>
      </x:c>
      <x:c r="E204" t="str">
        <x:v>Periféricos</x:v>
      </x:c>
      <x:c r="F204" s="34" t="n">
        <x:v>1</x:v>
      </x:c>
      <x:c r="G204" t="str">
        <x:v>TechDistribuidora Brasil</x:v>
      </x:c>
      <x:c r="H204" s="34" t="n">
        <x:v>1</x:v>
      </x:c>
      <x:c r="I204" s="36" t="n">
        <x:v>89.9</x:v>
      </x:c>
      <x:c r="J204" s="38" t="n">
        <x:v>0.1</x:v>
      </x:c>
      <x:c r="K204" s="36" t="n">
        <x:v>80.91</x:v>
      </x:c>
      <x:c r="L204" s="36" t="n">
        <x:v>80.91</x:v>
      </x:c>
    </x:row>
    <x:row r="205">
      <x:c r="A205" s="34" t="n">
        <x:v>204</x:v>
      </x:c>
      <x:c r="B205" s="34" t="n">
        <x:v>120</x:v>
      </x:c>
      <x:c r="C205" s="34" t="n">
        <x:v>4</x:v>
      </x:c>
      <x:c r="D205" t="str">
        <x:v>Webcam Full HD</x:v>
      </x:c>
      <x:c r="E205" t="str">
        <x:v>Periféricos</x:v>
      </x:c>
      <x:c r="F205" s="34" t="n">
        <x:v>3</x:v>
      </x:c>
      <x:c r="G205" t="str">
        <x:v>Prime Eletrônicos</x:v>
      </x:c>
      <x:c r="H205" s="34" t="n">
        <x:v>1</x:v>
      </x:c>
      <x:c r="I205" s="36" t="n">
        <x:v>199.9</x:v>
      </x:c>
      <x:c r="J205" s="38" t="n">
        <x:v>0.08</x:v>
      </x:c>
      <x:c r="K205" s="36" t="n">
        <x:v>183.91</x:v>
      </x:c>
      <x:c r="L205" s="36" t="n">
        <x:v>183.91</x:v>
      </x:c>
    </x:row>
    <x:row r="206">
      <x:c r="A206" s="34" t="n">
        <x:v>205</x:v>
      </x:c>
      <x:c r="B206" s="34" t="n">
        <x:v>121</x:v>
      </x:c>
      <x:c r="C206" s="34" t="n">
        <x:v>8</x:v>
      </x:c>
      <x:c r="D206" t="str">
        <x:v>Suporte Articulado para Monitor</x:v>
      </x:c>
      <x:c r="E206" t="str">
        <x:v>Acessórios</x:v>
      </x:c>
      <x:c r="F206" s="34" t="n">
        <x:v>7</x:v>
      </x:c>
      <x:c r="G206" t="str">
        <x:v>OfficeTech Supply</x:v>
      </x:c>
      <x:c r="H206" s="34" t="n">
        <x:v>1</x:v>
      </x:c>
      <x:c r="I206" s="36" t="n">
        <x:v>149.9</x:v>
      </x:c>
      <x:c r="J206" s="38" t="n">
        <x:v>0</x:v>
      </x:c>
      <x:c r="K206" s="36" t="n">
        <x:v>149.9</x:v>
      </x:c>
      <x:c r="L206" s="36" t="n">
        <x:v>149.9</x:v>
      </x:c>
    </x:row>
    <x:row r="207">
      <x:c r="A207" s="34" t="n">
        <x:v>206</x:v>
      </x:c>
      <x:c r="B207" s="34" t="n">
        <x:v>122</x:v>
      </x:c>
      <x:c r="C207" s="34" t="n">
        <x:v>6</x:v>
      </x:c>
      <x:c r="D207" t="str">
        <x:v>Cabo HDMI 2m</x:v>
      </x:c>
      <x:c r="E207" t="str">
        <x:v>Acessórios</x:v>
      </x:c>
      <x:c r="F207" s="34" t="n">
        <x:v>3</x:v>
      </x:c>
      <x:c r="G207" t="str">
        <x:v>Prime Eletrônicos</x:v>
      </x:c>
      <x:c r="H207" s="34" t="n">
        <x:v>2</x:v>
      </x:c>
      <x:c r="I207" s="36" t="n">
        <x:v>29.9</x:v>
      </x:c>
      <x:c r="J207" s="38" t="n">
        <x:v>0</x:v>
      </x:c>
      <x:c r="K207" s="36" t="n">
        <x:v>29.9</x:v>
      </x:c>
      <x:c r="L207" s="36" t="n">
        <x:v>59.8</x:v>
      </x:c>
    </x:row>
    <x:row r="208">
      <x:c r="A208" s="34" t="n">
        <x:v>207</x:v>
      </x:c>
      <x:c r="B208" s="34" t="n">
        <x:v>123</x:v>
      </x:c>
      <x:c r="C208" s="34" t="n">
        <x:v>7</x:v>
      </x:c>
      <x:c r="D208" t="str">
        <x:v>Adaptador USB-C HDMI</x:v>
      </x:c>
      <x:c r="E208" t="str">
        <x:v>Acessórios</x:v>
      </x:c>
      <x:c r="F208" s="34" t="n">
        <x:v>3</x:v>
      </x:c>
      <x:c r="G208" t="str">
        <x:v>Prime Eletrônicos</x:v>
      </x:c>
      <x:c r="H208" s="34" t="n">
        <x:v>1</x:v>
      </x:c>
      <x:c r="I208" s="36" t="n">
        <x:v>119.9</x:v>
      </x:c>
      <x:c r="J208" s="38" t="n">
        <x:v>0.03</x:v>
      </x:c>
      <x:c r="K208" s="36" t="n">
        <x:v>116.3</x:v>
      </x:c>
      <x:c r="L208" s="36" t="n">
        <x:v>116.3</x:v>
      </x:c>
    </x:row>
    <x:row r="209">
      <x:c r="A209" s="34" t="n">
        <x:v>208</x:v>
      </x:c>
      <x:c r="B209" s="34" t="n">
        <x:v>124</x:v>
      </x:c>
      <x:c r="C209" s="34" t="n">
        <x:v>5</x:v>
      </x:c>
      <x:c r="D209" t="str">
        <x:v>Mousepad Grande</x:v>
      </x:c>
      <x:c r="E209" t="str">
        <x:v>Acessórios</x:v>
      </x:c>
      <x:c r="F209" s="34" t="n">
        <x:v>3</x:v>
      </x:c>
      <x:c r="G209" t="str">
        <x:v>Prime Eletrônicos</x:v>
      </x:c>
      <x:c r="H209" s="34" t="n">
        <x:v>1</x:v>
      </x:c>
      <x:c r="I209" s="36" t="n">
        <x:v>39.9</x:v>
      </x:c>
      <x:c r="J209" s="38" t="n">
        <x:v>0</x:v>
      </x:c>
      <x:c r="K209" s="36" t="n">
        <x:v>39.9</x:v>
      </x:c>
      <x:c r="L209" s="36" t="n">
        <x:v>39.9</x:v>
      </x:c>
    </x:row>
    <x:row r="210">
      <x:c r="A210" s="34" t="n">
        <x:v>209</x:v>
      </x:c>
      <x:c r="B210" s="34" t="n">
        <x:v>125</x:v>
      </x:c>
      <x:c r="C210" s="34" t="n">
        <x:v>10</x:v>
      </x:c>
      <x:c r="D210" t="str">
        <x:v>SSD 480GB SATA</x:v>
      </x:c>
      <x:c r="E210" t="str">
        <x:v>Armazenamento</x:v>
      </x:c>
      <x:c r="F210" s="34" t="n">
        <x:v>2</x:v>
      </x:c>
      <x:c r="G210" t="str">
        <x:v>Mega Componentes</x:v>
      </x:c>
      <x:c r="H210" s="34" t="n">
        <x:v>2</x:v>
      </x:c>
      <x:c r="I210" s="36" t="n">
        <x:v>259.9</x:v>
      </x:c>
      <x:c r="J210" s="38" t="n">
        <x:v>0.05</x:v>
      </x:c>
      <x:c r="K210" s="36" t="n">
        <x:v>246.9</x:v>
      </x:c>
      <x:c r="L210" s="36" t="n">
        <x:v>493.8</x:v>
      </x:c>
    </x:row>
    <x:row r="211">
      <x:c r="A211" s="34" t="n">
        <x:v>210</x:v>
      </x:c>
      <x:c r="B211" s="34" t="n">
        <x:v>125</x:v>
      </x:c>
      <x:c r="C211" s="34" t="n">
        <x:v>14</x:v>
      </x:c>
      <x:c r="D211" t="str">
        <x:v>Memória RAM 16GB DDR4</x:v>
      </x:c>
      <x:c r="E211" t="str">
        <x:v>Componentes</x:v>
      </x:c>
      <x:c r="F211" s="34" t="n">
        <x:v>2</x:v>
      </x:c>
      <x:c r="G211" t="str">
        <x:v>Mega Componentes</x:v>
      </x:c>
      <x:c r="H211" s="34" t="n">
        <x:v>1</x:v>
      </x:c>
      <x:c r="I211" s="36" t="n">
        <x:v>319.9</x:v>
      </x:c>
      <x:c r="J211" s="38" t="n">
        <x:v>0.03</x:v>
      </x:c>
      <x:c r="K211" s="36" t="n">
        <x:v>310.3</x:v>
      </x:c>
      <x:c r="L211" s="36" t="n">
        <x:v>310.3</x:v>
      </x:c>
    </x:row>
    <x:row r="212">
      <x:c r="A212" s="34" t="n">
        <x:v>211</x:v>
      </x:c>
      <x:c r="B212" s="34" t="n">
        <x:v>125</x:v>
      </x:c>
      <x:c r="C212" s="34" t="n">
        <x:v>12</x:v>
      </x:c>
      <x:c r="D212" t="str">
        <x:v>HD Externo 1TB</x:v>
      </x:c>
      <x:c r="E212" t="str">
        <x:v>Armazenamento</x:v>
      </x:c>
      <x:c r="F212" s="34" t="n">
        <x:v>4</x:v>
      </x:c>
      <x:c r="G212" t="str">
        <x:v>InfoMax Atacado</x:v>
      </x:c>
      <x:c r="H212" s="34" t="n">
        <x:v>1</x:v>
      </x:c>
      <x:c r="I212" s="36" t="n">
        <x:v>369.9</x:v>
      </x:c>
      <x:c r="J212" s="38" t="n">
        <x:v>0</x:v>
      </x:c>
      <x:c r="K212" s="36" t="n">
        <x:v>369.9</x:v>
      </x:c>
      <x:c r="L212" s="36" t="n">
        <x:v>369.9</x:v>
      </x:c>
    </x:row>
    <x:row r="213">
      <x:c r="A213" s="34" t="n">
        <x:v>212</x:v>
      </x:c>
      <x:c r="B213" s="34" t="n">
        <x:v>126</x:v>
      </x:c>
      <x:c r="C213" s="34" t="n">
        <x:v>6</x:v>
      </x:c>
      <x:c r="D213" t="str">
        <x:v>Cabo HDMI 2m</x:v>
      </x:c>
      <x:c r="E213" t="str">
        <x:v>Acessórios</x:v>
      </x:c>
      <x:c r="F213" s="34" t="n">
        <x:v>3</x:v>
      </x:c>
      <x:c r="G213" t="str">
        <x:v>Prime Eletrônicos</x:v>
      </x:c>
      <x:c r="H213" s="34" t="n">
        <x:v>2</x:v>
      </x:c>
      <x:c r="I213" s="36" t="n">
        <x:v>29.9</x:v>
      </x:c>
      <x:c r="J213" s="38" t="n">
        <x:v>0.03</x:v>
      </x:c>
      <x:c r="K213" s="36" t="n">
        <x:v>29</x:v>
      </x:c>
      <x:c r="L213" s="36" t="n">
        <x:v>58</x:v>
      </x:c>
    </x:row>
    <x:row r="214">
      <x:c r="A214" s="34" t="n">
        <x:v>213</x:v>
      </x:c>
      <x:c r="B214" s="34" t="n">
        <x:v>127</x:v>
      </x:c>
      <x:c r="C214" s="34" t="n">
        <x:v>11</x:v>
      </x:c>
      <x:c r="D214" t="str">
        <x:v>SSD NVMe 500GB</x:v>
      </x:c>
      <x:c r="E214" t="str">
        <x:v>Armazenamento</x:v>
      </x:c>
      <x:c r="F214" s="34" t="n">
        <x:v>5</x:v>
      </x:c>
      <x:c r="G214" t="str">
        <x:v>FastHardware</x:v>
      </x:c>
      <x:c r="H214" s="34" t="n">
        <x:v>1</x:v>
      </x:c>
      <x:c r="I214" s="36" t="n">
        <x:v>329.9</x:v>
      </x:c>
      <x:c r="J214" s="38" t="n">
        <x:v>0.05</x:v>
      </x:c>
      <x:c r="K214" s="36" t="n">
        <x:v>313.4</x:v>
      </x:c>
      <x:c r="L214" s="36" t="n">
        <x:v>313.4</x:v>
      </x:c>
    </x:row>
    <x:row r="215">
      <x:c r="A215" s="34" t="n">
        <x:v>214</x:v>
      </x:c>
      <x:c r="B215" s="34" t="n">
        <x:v>127</x:v>
      </x:c>
      <x:c r="C215" s="34" t="n">
        <x:v>9</x:v>
      </x:c>
      <x:c r="D215" t="str">
        <x:v>SSD 240GB SATA</x:v>
      </x:c>
      <x:c r="E215" t="str">
        <x:v>Armazenamento</x:v>
      </x:c>
      <x:c r="F215" s="34" t="n">
        <x:v>2</x:v>
      </x:c>
      <x:c r="G215" t="str">
        <x:v>Mega Componentes</x:v>
      </x:c>
      <x:c r="H215" s="34" t="n">
        <x:v>1</x:v>
      </x:c>
      <x:c r="I215" s="36" t="n">
        <x:v>169.9</x:v>
      </x:c>
      <x:c r="J215" s="38" t="n">
        <x:v>0.08</x:v>
      </x:c>
      <x:c r="K215" s="36" t="n">
        <x:v>156.31</x:v>
      </x:c>
      <x:c r="L215" s="36" t="n">
        <x:v>156.31</x:v>
      </x:c>
    </x:row>
    <x:row r="216">
      <x:c r="A216" s="34" t="n">
        <x:v>215</x:v>
      </x:c>
      <x:c r="B216" s="34" t="n">
        <x:v>127</x:v>
      </x:c>
      <x:c r="C216" s="34" t="n">
        <x:v>3</x:v>
      </x:c>
      <x:c r="D216" t="str">
        <x:v>Headset Gamer P2</x:v>
      </x:c>
      <x:c r="E216" t="str">
        <x:v>Periféricos</x:v>
      </x:c>
      <x:c r="F216" s="34" t="n">
        <x:v>5</x:v>
      </x:c>
      <x:c r="G216" t="str">
        <x:v>FastHardware</x:v>
      </x:c>
      <x:c r="H216" s="34" t="n">
        <x:v>1</x:v>
      </x:c>
      <x:c r="I216" s="36" t="n">
        <x:v>159.9</x:v>
      </x:c>
      <x:c r="J216" s="38" t="n">
        <x:v>0</x:v>
      </x:c>
      <x:c r="K216" s="36" t="n">
        <x:v>159.9</x:v>
      </x:c>
      <x:c r="L216" s="36" t="n">
        <x:v>159.9</x:v>
      </x:c>
    </x:row>
    <x:row r="217">
      <x:c r="A217" s="34" t="n">
        <x:v>216</x:v>
      </x:c>
      <x:c r="B217" s="34" t="n">
        <x:v>127</x:v>
      </x:c>
      <x:c r="C217" s="34" t="n">
        <x:v>6</x:v>
      </x:c>
      <x:c r="D217" t="str">
        <x:v>Cabo HDMI 2m</x:v>
      </x:c>
      <x:c r="E217" t="str">
        <x:v>Acessórios</x:v>
      </x:c>
      <x:c r="F217" s="34" t="n">
        <x:v>3</x:v>
      </x:c>
      <x:c r="G217" t="str">
        <x:v>Prime Eletrônicos</x:v>
      </x:c>
      <x:c r="H217" s="34" t="n">
        <x:v>1</x:v>
      </x:c>
      <x:c r="I217" s="36" t="n">
        <x:v>29.9</x:v>
      </x:c>
      <x:c r="J217" s="38" t="n">
        <x:v>0.05</x:v>
      </x:c>
      <x:c r="K217" s="36" t="n">
        <x:v>28.4</x:v>
      </x:c>
      <x:c r="L217" s="36" t="n">
        <x:v>28.4</x:v>
      </x:c>
    </x:row>
    <x:row r="218">
      <x:c r="A218" s="34" t="n">
        <x:v>217</x:v>
      </x:c>
      <x:c r="B218" s="34" t="n">
        <x:v>128</x:v>
      </x:c>
      <x:c r="C218" s="34" t="n">
        <x:v>5</x:v>
      </x:c>
      <x:c r="D218" t="str">
        <x:v>Mousepad Grande</x:v>
      </x:c>
      <x:c r="E218" t="str">
        <x:v>Acessórios</x:v>
      </x:c>
      <x:c r="F218" s="34" t="n">
        <x:v>3</x:v>
      </x:c>
      <x:c r="G218" t="str">
        <x:v>Prime Eletrônicos</x:v>
      </x:c>
      <x:c r="H218" s="34" t="n">
        <x:v>2</x:v>
      </x:c>
      <x:c r="I218" s="36" t="n">
        <x:v>39.9</x:v>
      </x:c>
      <x:c r="J218" s="38" t="n">
        <x:v>0</x:v>
      </x:c>
      <x:c r="K218" s="36" t="n">
        <x:v>39.9</x:v>
      </x:c>
      <x:c r="L218" s="36" t="n">
        <x:v>79.8</x:v>
      </x:c>
    </x:row>
    <x:row r="219">
      <x:c r="A219" s="34" t="n">
        <x:v>218</x:v>
      </x:c>
      <x:c r="B219" s="34" t="n">
        <x:v>129</x:v>
      </x:c>
      <x:c r="C219" s="34" t="n">
        <x:v>18</x:v>
      </x:c>
      <x:c r="D219" t="str">
        <x:v>Cooler para Processador</x:v>
      </x:c>
      <x:c r="E219" t="str">
        <x:v>Componentes</x:v>
      </x:c>
      <x:c r="F219" s="34" t="n">
        <x:v>2</x:v>
      </x:c>
      <x:c r="G219" t="str">
        <x:v>Mega Componentes</x:v>
      </x:c>
      <x:c r="H219" s="34" t="n">
        <x:v>2</x:v>
      </x:c>
      <x:c r="I219" s="36" t="n">
        <x:v>99.9</x:v>
      </x:c>
      <x:c r="J219" s="38" t="n">
        <x:v>0</x:v>
      </x:c>
      <x:c r="K219" s="36" t="n">
        <x:v>99.9</x:v>
      </x:c>
      <x:c r="L219" s="36" t="n">
        <x:v>199.8</x:v>
      </x:c>
    </x:row>
    <x:row r="220">
      <x:c r="A220" s="34" t="n">
        <x:v>219</x:v>
      </x:c>
      <x:c r="B220" s="34" t="n">
        <x:v>129</x:v>
      </x:c>
      <x:c r="C220" s="34" t="n">
        <x:v>8</x:v>
      </x:c>
      <x:c r="D220" t="str">
        <x:v>Suporte Articulado para Monitor</x:v>
      </x:c>
      <x:c r="E220" t="str">
        <x:v>Acessórios</x:v>
      </x:c>
      <x:c r="F220" s="34" t="n">
        <x:v>7</x:v>
      </x:c>
      <x:c r="G220" t="str">
        <x:v>OfficeTech Supply</x:v>
      </x:c>
      <x:c r="H220" s="34" t="n">
        <x:v>1</x:v>
      </x:c>
      <x:c r="I220" s="36" t="n">
        <x:v>149.9</x:v>
      </x:c>
      <x:c r="J220" s="38" t="n">
        <x:v>0.08</x:v>
      </x:c>
      <x:c r="K220" s="36" t="n">
        <x:v>137.91</x:v>
      </x:c>
      <x:c r="L220" s="36" t="n">
        <x:v>137.91</x:v>
      </x:c>
    </x:row>
    <x:row r="221">
      <x:c r="A221" s="34" t="n">
        <x:v>220</x:v>
      </x:c>
      <x:c r="B221" s="34" t="n">
        <x:v>130</x:v>
      </x:c>
      <x:c r="C221" s="34" t="n">
        <x:v>20</x:v>
      </x:c>
      <x:c r="D221" t="str">
        <x:v>Monitor IPS 24"</x:v>
      </x:c>
      <x:c r="E221" t="str">
        <x:v>Monitores</x:v>
      </x:c>
      <x:c r="F221" s="34" t="n">
        <x:v>8</x:v>
      </x:c>
      <x:c r="G221" t="str">
        <x:v>Brasil Monitores</x:v>
      </x:c>
      <x:c r="H221" s="34" t="n">
        <x:v>1</x:v>
      </x:c>
      <x:c r="I221" s="36" t="n">
        <x:v>899.9</x:v>
      </x:c>
      <x:c r="J221" s="38" t="n">
        <x:v>0</x:v>
      </x:c>
      <x:c r="K221" s="36" t="n">
        <x:v>899.9</x:v>
      </x:c>
      <x:c r="L221" s="36" t="n">
        <x:v>899.9</x:v>
      </x:c>
    </x:row>
    <x:row r="222">
      <x:c r="A222" s="34" t="n">
        <x:v>221</x:v>
      </x:c>
      <x:c r="B222" s="34" t="n">
        <x:v>130</x:v>
      </x:c>
      <x:c r="C222" s="34" t="n">
        <x:v>5</x:v>
      </x:c>
      <x:c r="D222" t="str">
        <x:v>Mousepad Grande</x:v>
      </x:c>
      <x:c r="E222" t="str">
        <x:v>Acessórios</x:v>
      </x:c>
      <x:c r="F222" s="34" t="n">
        <x:v>3</x:v>
      </x:c>
      <x:c r="G222" t="str">
        <x:v>Prime Eletrônicos</x:v>
      </x:c>
      <x:c r="H222" s="34" t="n">
        <x:v>1</x:v>
      </x:c>
      <x:c r="I222" s="36" t="n">
        <x:v>39.9</x:v>
      </x:c>
      <x:c r="J222" s="38" t="n">
        <x:v>0</x:v>
      </x:c>
      <x:c r="K222" s="36" t="n">
        <x:v>39.9</x:v>
      </x:c>
      <x:c r="L222" s="36" t="n">
        <x:v>39.9</x:v>
      </x:c>
    </x:row>
    <x:row r="223">
      <x:c r="A223" s="34" t="n">
        <x:v>222</x:v>
      </x:c>
      <x:c r="B223" s="34" t="n">
        <x:v>130</x:v>
      </x:c>
      <x:c r="C223" s="34" t="n">
        <x:v>25</x:v>
      </x:c>
      <x:c r="D223" t="str">
        <x:v>Roteador Wi-Fi AC1200</x:v>
      </x:c>
      <x:c r="E223" t="str">
        <x:v>Rede</x:v>
      </x:c>
      <x:c r="F223" s="34" t="n">
        <x:v>6</x:v>
      </x:c>
      <x:c r="G223" t="str">
        <x:v>Connect Rede</x:v>
      </x:c>
      <x:c r="H223" s="34" t="n">
        <x:v>1</x:v>
      </x:c>
      <x:c r="I223" s="36" t="n">
        <x:v>249.9</x:v>
      </x:c>
      <x:c r="J223" s="38" t="n">
        <x:v>0</x:v>
      </x:c>
      <x:c r="K223" s="36" t="n">
        <x:v>249.9</x:v>
      </x:c>
      <x:c r="L223" s="36" t="n">
        <x:v>249.9</x:v>
      </x:c>
    </x:row>
    <x:row r="224">
      <x:c r="A224" s="34" t="n">
        <x:v>223</x:v>
      </x:c>
      <x:c r="B224" s="34" t="n">
        <x:v>130</x:v>
      </x:c>
      <x:c r="C224" s="34" t="n">
        <x:v>12</x:v>
      </x:c>
      <x:c r="D224" t="str">
        <x:v>HD Externo 1TB</x:v>
      </x:c>
      <x:c r="E224" t="str">
        <x:v>Armazenamento</x:v>
      </x:c>
      <x:c r="F224" s="34" t="n">
        <x:v>4</x:v>
      </x:c>
      <x:c r="G224" t="str">
        <x:v>InfoMax Atacado</x:v>
      </x:c>
      <x:c r="H224" s="34" t="n">
        <x:v>2</x:v>
      </x:c>
      <x:c r="I224" s="36" t="n">
        <x:v>369.9</x:v>
      </x:c>
      <x:c r="J224" s="38" t="n">
        <x:v>0</x:v>
      </x:c>
      <x:c r="K224" s="36" t="n">
        <x:v>369.9</x:v>
      </x:c>
      <x:c r="L224" s="36" t="n">
        <x:v>739.8</x:v>
      </x:c>
    </x:row>
    <x:row r="225">
      <x:c r="A225" s="34" t="n">
        <x:v>224</x:v>
      </x:c>
      <x:c r="B225" s="34" t="n">
        <x:v>131</x:v>
      </x:c>
      <x:c r="C225" s="34" t="n">
        <x:v>27</x:v>
      </x:c>
      <x:c r="D225" t="str">
        <x:v>Placa de Rede PCIe</x:v>
      </x:c>
      <x:c r="E225" t="str">
        <x:v>Rede</x:v>
      </x:c>
      <x:c r="F225" s="34" t="n">
        <x:v>6</x:v>
      </x:c>
      <x:c r="G225" t="str">
        <x:v>Connect Rede</x:v>
      </x:c>
      <x:c r="H225" s="34" t="n">
        <x:v>2</x:v>
      </x:c>
      <x:c r="I225" s="36" t="n">
        <x:v>79.9</x:v>
      </x:c>
      <x:c r="J225" s="38" t="n">
        <x:v>0</x:v>
      </x:c>
      <x:c r="K225" s="36" t="n">
        <x:v>79.9</x:v>
      </x:c>
      <x:c r="L225" s="36" t="n">
        <x:v>159.8</x:v>
      </x:c>
    </x:row>
    <x:row r="226">
      <x:c r="A226" s="34" t="n">
        <x:v>225</x:v>
      </x:c>
      <x:c r="B226" s="34" t="n">
        <x:v>131</x:v>
      </x:c>
      <x:c r="C226" s="34" t="n">
        <x:v>25</x:v>
      </x:c>
      <x:c r="D226" t="str">
        <x:v>Roteador Wi-Fi AC1200</x:v>
      </x:c>
      <x:c r="E226" t="str">
        <x:v>Rede</x:v>
      </x:c>
      <x:c r="F226" s="34" t="n">
        <x:v>6</x:v>
      </x:c>
      <x:c r="G226" t="str">
        <x:v>Connect Rede</x:v>
      </x:c>
      <x:c r="H226" s="34" t="n">
        <x:v>1</x:v>
      </x:c>
      <x:c r="I226" s="36" t="n">
        <x:v>249.9</x:v>
      </x:c>
      <x:c r="J226" s="38" t="n">
        <x:v>0</x:v>
      </x:c>
      <x:c r="K226" s="36" t="n">
        <x:v>249.9</x:v>
      </x:c>
      <x:c r="L226" s="36" t="n">
        <x:v>249.9</x:v>
      </x:c>
    </x:row>
    <x:row r="227">
      <x:c r="A227" s="34" t="n">
        <x:v>226</x:v>
      </x:c>
      <x:c r="B227" s="34" t="n">
        <x:v>132</x:v>
      </x:c>
      <x:c r="C227" s="34" t="n">
        <x:v>9</x:v>
      </x:c>
      <x:c r="D227" t="str">
        <x:v>SSD 240GB SATA</x:v>
      </x:c>
      <x:c r="E227" t="str">
        <x:v>Armazenamento</x:v>
      </x:c>
      <x:c r="F227" s="34" t="n">
        <x:v>2</x:v>
      </x:c>
      <x:c r="G227" t="str">
        <x:v>Mega Componentes</x:v>
      </x:c>
      <x:c r="H227" s="34" t="n">
        <x:v>1</x:v>
      </x:c>
      <x:c r="I227" s="36" t="n">
        <x:v>169.9</x:v>
      </x:c>
      <x:c r="J227" s="38" t="n">
        <x:v>0</x:v>
      </x:c>
      <x:c r="K227" s="36" t="n">
        <x:v>169.9</x:v>
      </x:c>
      <x:c r="L227" s="36" t="n">
        <x:v>169.9</x:v>
      </x:c>
    </x:row>
    <x:row r="228">
      <x:c r="A228" s="34" t="n">
        <x:v>227</x:v>
      </x:c>
      <x:c r="B228" s="34" t="n">
        <x:v>132</x:v>
      </x:c>
      <x:c r="C228" s="34" t="n">
        <x:v>11</x:v>
      </x:c>
      <x:c r="D228" t="str">
        <x:v>SSD NVMe 500GB</x:v>
      </x:c>
      <x:c r="E228" t="str">
        <x:v>Armazenamento</x:v>
      </x:c>
      <x:c r="F228" s="34" t="n">
        <x:v>5</x:v>
      </x:c>
      <x:c r="G228" t="str">
        <x:v>FastHardware</x:v>
      </x:c>
      <x:c r="H228" s="34" t="n">
        <x:v>3</x:v>
      </x:c>
      <x:c r="I228" s="36" t="n">
        <x:v>329.9</x:v>
      </x:c>
      <x:c r="J228" s="38" t="n">
        <x:v>0</x:v>
      </x:c>
      <x:c r="K228" s="36" t="n">
        <x:v>329.9</x:v>
      </x:c>
      <x:c r="L228" s="36" t="n">
        <x:v>989.7</x:v>
      </x:c>
    </x:row>
    <x:row r="229">
      <x:c r="A229" s="34" t="n">
        <x:v>228</x:v>
      </x:c>
      <x:c r="B229" s="34" t="n">
        <x:v>133</x:v>
      </x:c>
      <x:c r="C229" s="34" t="n">
        <x:v>26</x:v>
      </x:c>
      <x:c r="D229" t="str">
        <x:v>Switch 8 Portas Gigabit</x:v>
      </x:c>
      <x:c r="E229" t="str">
        <x:v>Rede</x:v>
      </x:c>
      <x:c r="F229" s="34" t="n">
        <x:v>6</x:v>
      </x:c>
      <x:c r="G229" t="str">
        <x:v>Connect Rede</x:v>
      </x:c>
      <x:c r="H229" s="34" t="n">
        <x:v>1</x:v>
      </x:c>
      <x:c r="I229" s="36" t="n">
        <x:v>189.9</x:v>
      </x:c>
      <x:c r="J229" s="38" t="n">
        <x:v>0.03</x:v>
      </x:c>
      <x:c r="K229" s="36" t="n">
        <x:v>184.2</x:v>
      </x:c>
      <x:c r="L229" s="36" t="n">
        <x:v>184.2</x:v>
      </x:c>
    </x:row>
    <x:row r="230">
      <x:c r="A230" s="34" t="n">
        <x:v>229</x:v>
      </x:c>
      <x:c r="B230" s="34" t="n">
        <x:v>133</x:v>
      </x:c>
      <x:c r="C230" s="34" t="n">
        <x:v>2</x:v>
      </x:c>
      <x:c r="D230" t="str">
        <x:v>Teclado Membrana ABNT2</x:v>
      </x:c>
      <x:c r="E230" t="str">
        <x:v>Periféricos</x:v>
      </x:c>
      <x:c r="F230" s="34" t="n">
        <x:v>1</x:v>
      </x:c>
      <x:c r="G230" t="str">
        <x:v>TechDistribuidora Brasil</x:v>
      </x:c>
      <x:c r="H230" s="34" t="n">
        <x:v>1</x:v>
      </x:c>
      <x:c r="I230" s="36" t="n">
        <x:v>89.9</x:v>
      </x:c>
      <x:c r="J230" s="38" t="n">
        <x:v>0</x:v>
      </x:c>
      <x:c r="K230" s="36" t="n">
        <x:v>89.9</x:v>
      </x:c>
      <x:c r="L230" s="36" t="n">
        <x:v>89.9</x:v>
      </x:c>
    </x:row>
    <x:row r="231">
      <x:c r="A231" s="34" t="n">
        <x:v>230</x:v>
      </x:c>
      <x:c r="B231" s="34" t="n">
        <x:v>134</x:v>
      </x:c>
      <x:c r="C231" s="34" t="n">
        <x:v>5</x:v>
      </x:c>
      <x:c r="D231" t="str">
        <x:v>Mousepad Grande</x:v>
      </x:c>
      <x:c r="E231" t="str">
        <x:v>Acessórios</x:v>
      </x:c>
      <x:c r="F231" s="34" t="n">
        <x:v>3</x:v>
      </x:c>
      <x:c r="G231" t="str">
        <x:v>Prime Eletrônicos</x:v>
      </x:c>
      <x:c r="H231" s="34" t="n">
        <x:v>3</x:v>
      </x:c>
      <x:c r="I231" s="36" t="n">
        <x:v>39.9</x:v>
      </x:c>
      <x:c r="J231" s="38" t="n">
        <x:v>0</x:v>
      </x:c>
      <x:c r="K231" s="36" t="n">
        <x:v>39.9</x:v>
      </x:c>
      <x:c r="L231" s="36" t="n">
        <x:v>119.7</x:v>
      </x:c>
    </x:row>
    <x:row r="232">
      <x:c r="A232" s="34" t="n">
        <x:v>231</x:v>
      </x:c>
      <x:c r="B232" s="34" t="n">
        <x:v>135</x:v>
      </x:c>
      <x:c r="C232" s="34" t="n">
        <x:v>2</x:v>
      </x:c>
      <x:c r="D232" t="str">
        <x:v>Teclado Membrana ABNT2</x:v>
      </x:c>
      <x:c r="E232" t="str">
        <x:v>Periféricos</x:v>
      </x:c>
      <x:c r="F232" s="34" t="n">
        <x:v>1</x:v>
      </x:c>
      <x:c r="G232" t="str">
        <x:v>TechDistribuidora Brasil</x:v>
      </x:c>
      <x:c r="H232" s="34" t="n">
        <x:v>1</x:v>
      </x:c>
      <x:c r="I232" s="36" t="n">
        <x:v>89.9</x:v>
      </x:c>
      <x:c r="J232" s="38" t="n">
        <x:v>0</x:v>
      </x:c>
      <x:c r="K232" s="36" t="n">
        <x:v>89.9</x:v>
      </x:c>
      <x:c r="L232" s="36" t="n">
        <x:v>89.9</x:v>
      </x:c>
    </x:row>
    <x:row r="233">
      <x:c r="A233" s="34" t="n">
        <x:v>232</x:v>
      </x:c>
      <x:c r="B233" s="34" t="n">
        <x:v>136</x:v>
      </x:c>
      <x:c r="C233" s="34" t="n">
        <x:v>27</x:v>
      </x:c>
      <x:c r="D233" t="str">
        <x:v>Placa de Rede PCIe</x:v>
      </x:c>
      <x:c r="E233" t="str">
        <x:v>Rede</x:v>
      </x:c>
      <x:c r="F233" s="34" t="n">
        <x:v>6</x:v>
      </x:c>
      <x:c r="G233" t="str">
        <x:v>Connect Rede</x:v>
      </x:c>
      <x:c r="H233" s="34" t="n">
        <x:v>1</x:v>
      </x:c>
      <x:c r="I233" s="36" t="n">
        <x:v>79.9</x:v>
      </x:c>
      <x:c r="J233" s="38" t="n">
        <x:v>0</x:v>
      </x:c>
      <x:c r="K233" s="36" t="n">
        <x:v>79.9</x:v>
      </x:c>
      <x:c r="L233" s="36" t="n">
        <x:v>79.9</x:v>
      </x:c>
    </x:row>
    <x:row r="234">
      <x:c r="A234" s="34" t="n">
        <x:v>233</x:v>
      </x:c>
      <x:c r="B234" s="34" t="n">
        <x:v>136</x:v>
      </x:c>
      <x:c r="C234" s="34" t="n">
        <x:v>2</x:v>
      </x:c>
      <x:c r="D234" t="str">
        <x:v>Teclado Membrana ABNT2</x:v>
      </x:c>
      <x:c r="E234" t="str">
        <x:v>Periféricos</x:v>
      </x:c>
      <x:c r="F234" s="34" t="n">
        <x:v>1</x:v>
      </x:c>
      <x:c r="G234" t="str">
        <x:v>TechDistribuidora Brasil</x:v>
      </x:c>
      <x:c r="H234" s="34" t="n">
        <x:v>1</x:v>
      </x:c>
      <x:c r="I234" s="36" t="n">
        <x:v>89.9</x:v>
      </x:c>
      <x:c r="J234" s="38" t="n">
        <x:v>0</x:v>
      </x:c>
      <x:c r="K234" s="36" t="n">
        <x:v>89.9</x:v>
      </x:c>
      <x:c r="L234" s="36" t="n">
        <x:v>89.9</x:v>
      </x:c>
    </x:row>
    <x:row r="235">
      <x:c r="A235" s="34" t="n">
        <x:v>234</x:v>
      </x:c>
      <x:c r="B235" s="34" t="n">
        <x:v>136</x:v>
      </x:c>
      <x:c r="C235" s="34" t="n">
        <x:v>6</x:v>
      </x:c>
      <x:c r="D235" t="str">
        <x:v>Cabo HDMI 2m</x:v>
      </x:c>
      <x:c r="E235" t="str">
        <x:v>Acessórios</x:v>
      </x:c>
      <x:c r="F235" s="34" t="n">
        <x:v>3</x:v>
      </x:c>
      <x:c r="G235" t="str">
        <x:v>Prime Eletrônicos</x:v>
      </x:c>
      <x:c r="H235" s="34" t="n">
        <x:v>1</x:v>
      </x:c>
      <x:c r="I235" s="36" t="n">
        <x:v>29.9</x:v>
      </x:c>
      <x:c r="J235" s="38" t="n">
        <x:v>0.03</x:v>
      </x:c>
      <x:c r="K235" s="36" t="n">
        <x:v>29</x:v>
      </x:c>
      <x:c r="L235" s="36" t="n">
        <x:v>29</x:v>
      </x:c>
    </x:row>
    <x:row r="236">
      <x:c r="A236" s="34" t="n">
        <x:v>235</x:v>
      </x:c>
      <x:c r="B236" s="34" t="n">
        <x:v>137</x:v>
      </x:c>
      <x:c r="C236" s="34" t="n">
        <x:v>16</x:v>
      </x:c>
      <x:c r="D236" t="str">
        <x:v>Placa de Vídeo GTX 1650</x:v>
      </x:c>
      <x:c r="E236" t="str">
        <x:v>Componentes</x:v>
      </x:c>
      <x:c r="F236" s="34" t="n">
        <x:v>5</x:v>
      </x:c>
      <x:c r="G236" t="str">
        <x:v>FastHardware</x:v>
      </x:c>
      <x:c r="H236" s="34" t="n">
        <x:v>1</x:v>
      </x:c>
      <x:c r="I236" s="36" t="n">
        <x:v>949.9</x:v>
      </x:c>
      <x:c r="J236" s="38" t="n">
        <x:v>0.05</x:v>
      </x:c>
      <x:c r="K236" s="36" t="n">
        <x:v>902.4</x:v>
      </x:c>
      <x:c r="L236" s="36" t="n">
        <x:v>902.4</x:v>
      </x:c>
    </x:row>
    <x:row r="237">
      <x:c r="A237" s="34" t="n">
        <x:v>236</x:v>
      </x:c>
      <x:c r="B237" s="34" t="n">
        <x:v>138</x:v>
      </x:c>
      <x:c r="C237" s="34" t="n">
        <x:v>5</x:v>
      </x:c>
      <x:c r="D237" t="str">
        <x:v>Mousepad Grande</x:v>
      </x:c>
      <x:c r="E237" t="str">
        <x:v>Acessórios</x:v>
      </x:c>
      <x:c r="F237" s="34" t="n">
        <x:v>3</x:v>
      </x:c>
      <x:c r="G237" t="str">
        <x:v>Prime Eletrônicos</x:v>
      </x:c>
      <x:c r="H237" s="34" t="n">
        <x:v>1</x:v>
      </x:c>
      <x:c r="I237" s="36" t="n">
        <x:v>39.9</x:v>
      </x:c>
      <x:c r="J237" s="38" t="n">
        <x:v>0.03</x:v>
      </x:c>
      <x:c r="K237" s="36" t="n">
        <x:v>38.7</x:v>
      </x:c>
      <x:c r="L237" s="36" t="n">
        <x:v>38.7</x:v>
      </x:c>
    </x:row>
    <x:row r="238">
      <x:c r="A238" s="34" t="n">
        <x:v>237</x:v>
      </x:c>
      <x:c r="B238" s="34" t="n">
        <x:v>139</x:v>
      </x:c>
      <x:c r="C238" s="34" t="n">
        <x:v>18</x:v>
      </x:c>
      <x:c r="D238" t="str">
        <x:v>Cooler para Processador</x:v>
      </x:c>
      <x:c r="E238" t="str">
        <x:v>Componentes</x:v>
      </x:c>
      <x:c r="F238" s="34" t="n">
        <x:v>2</x:v>
      </x:c>
      <x:c r="G238" t="str">
        <x:v>Mega Componentes</x:v>
      </x:c>
      <x:c r="H238" s="34" t="n">
        <x:v>1</x:v>
      </x:c>
      <x:c r="I238" s="36" t="n">
        <x:v>99.9</x:v>
      </x:c>
      <x:c r="J238" s="38" t="n">
        <x:v>0</x:v>
      </x:c>
      <x:c r="K238" s="36" t="n">
        <x:v>99.9</x:v>
      </x:c>
      <x:c r="L238" s="36" t="n">
        <x:v>99.9</x:v>
      </x:c>
    </x:row>
    <x:row r="239">
      <x:c r="A239" s="34" t="n">
        <x:v>238</x:v>
      </x:c>
      <x:c r="B239" s="34" t="n">
        <x:v>140</x:v>
      </x:c>
      <x:c r="C239" s="34" t="n">
        <x:v>6</x:v>
      </x:c>
      <x:c r="D239" t="str">
        <x:v>Cabo HDMI 2m</x:v>
      </x:c>
      <x:c r="E239" t="str">
        <x:v>Acessórios</x:v>
      </x:c>
      <x:c r="F239" s="34" t="n">
        <x:v>3</x:v>
      </x:c>
      <x:c r="G239" t="str">
        <x:v>Prime Eletrônicos</x:v>
      </x:c>
      <x:c r="H239" s="34" t="n">
        <x:v>1</x:v>
      </x:c>
      <x:c r="I239" s="36" t="n">
        <x:v>29.9</x:v>
      </x:c>
      <x:c r="J239" s="38" t="n">
        <x:v>0.1</x:v>
      </x:c>
      <x:c r="K239" s="36" t="n">
        <x:v>26.91</x:v>
      </x:c>
      <x:c r="L239" s="36" t="n">
        <x:v>26.91</x:v>
      </x:c>
    </x:row>
    <x:row r="240">
      <x:c r="A240" s="34" t="n">
        <x:v>239</x:v>
      </x:c>
      <x:c r="B240" s="34" t="n">
        <x:v>140</x:v>
      </x:c>
      <x:c r="C240" s="34" t="n">
        <x:v>7</x:v>
      </x:c>
      <x:c r="D240" t="str">
        <x:v>Adaptador USB-C HDMI</x:v>
      </x:c>
      <x:c r="E240" t="str">
        <x:v>Acessórios</x:v>
      </x:c>
      <x:c r="F240" s="34" t="n">
        <x:v>3</x:v>
      </x:c>
      <x:c r="G240" t="str">
        <x:v>Prime Eletrônicos</x:v>
      </x:c>
      <x:c r="H240" s="34" t="n">
        <x:v>1</x:v>
      </x:c>
      <x:c r="I240" s="36" t="n">
        <x:v>119.9</x:v>
      </x:c>
      <x:c r="J240" s="38" t="n">
        <x:v>0.08</x:v>
      </x:c>
      <x:c r="K240" s="36" t="n">
        <x:v>110.31</x:v>
      </x:c>
      <x:c r="L240" s="36" t="n">
        <x:v>110.31</x:v>
      </x:c>
    </x:row>
    <x:row r="241">
      <x:c r="A241" s="34" t="n">
        <x:v>240</x:v>
      </x:c>
      <x:c r="B241" s="34" t="n">
        <x:v>141</x:v>
      </x:c>
      <x:c r="C241" s="34" t="n">
        <x:v>9</x:v>
      </x:c>
      <x:c r="D241" t="str">
        <x:v>SSD 240GB SATA</x:v>
      </x:c>
      <x:c r="E241" t="str">
        <x:v>Armazenamento</x:v>
      </x:c>
      <x:c r="F241" s="34" t="n">
        <x:v>2</x:v>
      </x:c>
      <x:c r="G241" t="str">
        <x:v>Mega Componentes</x:v>
      </x:c>
      <x:c r="H241" s="34" t="n">
        <x:v>1</x:v>
      </x:c>
      <x:c r="I241" s="36" t="n">
        <x:v>169.9</x:v>
      </x:c>
      <x:c r="J241" s="38" t="n">
        <x:v>0.03</x:v>
      </x:c>
      <x:c r="K241" s="36" t="n">
        <x:v>164.8</x:v>
      </x:c>
      <x:c r="L241" s="36" t="n">
        <x:v>164.8</x:v>
      </x:c>
    </x:row>
    <x:row r="242">
      <x:c r="A242" s="34" t="n">
        <x:v>241</x:v>
      </x:c>
      <x:c r="B242" s="34" t="n">
        <x:v>141</x:v>
      </x:c>
      <x:c r="C242" s="34" t="n">
        <x:v>18</x:v>
      </x:c>
      <x:c r="D242" t="str">
        <x:v>Cooler para Processador</x:v>
      </x:c>
      <x:c r="E242" t="str">
        <x:v>Componentes</x:v>
      </x:c>
      <x:c r="F242" s="34" t="n">
        <x:v>2</x:v>
      </x:c>
      <x:c r="G242" t="str">
        <x:v>Mega Componentes</x:v>
      </x:c>
      <x:c r="H242" s="34" t="n">
        <x:v>1</x:v>
      </x:c>
      <x:c r="I242" s="36" t="n">
        <x:v>99.9</x:v>
      </x:c>
      <x:c r="J242" s="38" t="n">
        <x:v>0.12</x:v>
      </x:c>
      <x:c r="K242" s="36" t="n">
        <x:v>87.91</x:v>
      </x:c>
      <x:c r="L242" s="36" t="n">
        <x:v>87.91</x:v>
      </x:c>
    </x:row>
    <x:row r="243">
      <x:c r="A243" s="34" t="n">
        <x:v>242</x:v>
      </x:c>
      <x:c r="B243" s="34" t="n">
        <x:v>142</x:v>
      </x:c>
      <x:c r="C243" s="34" t="n">
        <x:v>7</x:v>
      </x:c>
      <x:c r="D243" t="str">
        <x:v>Adaptador USB-C HDMI</x:v>
      </x:c>
      <x:c r="E243" t="str">
        <x:v>Acessórios</x:v>
      </x:c>
      <x:c r="F243" s="34" t="n">
        <x:v>3</x:v>
      </x:c>
      <x:c r="G243" t="str">
        <x:v>Prime Eletrônicos</x:v>
      </x:c>
      <x:c r="H243" s="34" t="n">
        <x:v>3</x:v>
      </x:c>
      <x:c r="I243" s="36" t="n">
        <x:v>119.9</x:v>
      </x:c>
      <x:c r="J243" s="38" t="n">
        <x:v>0.1</x:v>
      </x:c>
      <x:c r="K243" s="36" t="n">
        <x:v>107.91</x:v>
      </x:c>
      <x:c r="L243" s="36" t="n">
        <x:v>323.73</x:v>
      </x:c>
    </x:row>
    <x:row r="244">
      <x:c r="A244" s="34" t="n">
        <x:v>243</x:v>
      </x:c>
      <x:c r="B244" s="34" t="n">
        <x:v>143</x:v>
      </x:c>
      <x:c r="C244" s="34" t="n">
        <x:v>1</x:v>
      </x:c>
      <x:c r="D244" t="str">
        <x:v>Mouse Óptico USB</x:v>
      </x:c>
      <x:c r="E244" t="str">
        <x:v>Periféricos</x:v>
      </x:c>
      <x:c r="F244" s="34" t="n">
        <x:v>1</x:v>
      </x:c>
      <x:c r="G244" t="str">
        <x:v>TechDistribuidora Brasil</x:v>
      </x:c>
      <x:c r="H244" s="34" t="n">
        <x:v>1</x:v>
      </x:c>
      <x:c r="I244" s="36" t="n">
        <x:v>49.9</x:v>
      </x:c>
      <x:c r="J244" s="38" t="n">
        <x:v>0</x:v>
      </x:c>
      <x:c r="K244" s="36" t="n">
        <x:v>49.9</x:v>
      </x:c>
      <x:c r="L244" s="36" t="n">
        <x:v>49.9</x:v>
      </x:c>
    </x:row>
    <x:row r="245">
      <x:c r="A245" s="34" t="n">
        <x:v>244</x:v>
      </x:c>
      <x:c r="B245" s="34" t="n">
        <x:v>143</x:v>
      </x:c>
      <x:c r="C245" s="34" t="n">
        <x:v>4</x:v>
      </x:c>
      <x:c r="D245" t="str">
        <x:v>Webcam Full HD</x:v>
      </x:c>
      <x:c r="E245" t="str">
        <x:v>Periféricos</x:v>
      </x:c>
      <x:c r="F245" s="34" t="n">
        <x:v>3</x:v>
      </x:c>
      <x:c r="G245" t="str">
        <x:v>Prime Eletrônicos</x:v>
      </x:c>
      <x:c r="H245" s="34" t="n">
        <x:v>1</x:v>
      </x:c>
      <x:c r="I245" s="36" t="n">
        <x:v>199.9</x:v>
      </x:c>
      <x:c r="J245" s="38" t="n">
        <x:v>0.03</x:v>
      </x:c>
      <x:c r="K245" s="36" t="n">
        <x:v>193.9</x:v>
      </x:c>
      <x:c r="L245" s="36" t="n">
        <x:v>193.9</x:v>
      </x:c>
    </x:row>
    <x:row r="246">
      <x:c r="A246" s="34" t="n">
        <x:v>245</x:v>
      </x:c>
      <x:c r="B246" s="34" t="n">
        <x:v>144</x:v>
      </x:c>
      <x:c r="C246" s="34" t="n">
        <x:v>9</x:v>
      </x:c>
      <x:c r="D246" t="str">
        <x:v>SSD 240GB SATA</x:v>
      </x:c>
      <x:c r="E246" t="str">
        <x:v>Armazenamento</x:v>
      </x:c>
      <x:c r="F246" s="34" t="n">
        <x:v>2</x:v>
      </x:c>
      <x:c r="G246" t="str">
        <x:v>Mega Componentes</x:v>
      </x:c>
      <x:c r="H246" s="34" t="n">
        <x:v>2</x:v>
      </x:c>
      <x:c r="I246" s="36" t="n">
        <x:v>169.9</x:v>
      </x:c>
      <x:c r="J246" s="38" t="n">
        <x:v>0.05</x:v>
      </x:c>
      <x:c r="K246" s="36" t="n">
        <x:v>161.41</x:v>
      </x:c>
      <x:c r="L246" s="36" t="n">
        <x:v>322.82</x:v>
      </x:c>
    </x:row>
    <x:row r="247">
      <x:c r="A247" s="34" t="n">
        <x:v>246</x:v>
      </x:c>
      <x:c r="B247" s="34" t="n">
        <x:v>145</x:v>
      </x:c>
      <x:c r="C247" s="34" t="n">
        <x:v>28</x:v>
      </x:c>
      <x:c r="D247" t="str">
        <x:v>Repetidor Wi-Fi</x:v>
      </x:c>
      <x:c r="E247" t="str">
        <x:v>Rede</x:v>
      </x:c>
      <x:c r="F247" s="34" t="n">
        <x:v>6</x:v>
      </x:c>
      <x:c r="G247" t="str">
        <x:v>Connect Rede</x:v>
      </x:c>
      <x:c r="H247" s="34" t="n">
        <x:v>1</x:v>
      </x:c>
      <x:c r="I247" s="36" t="n">
        <x:v>139.9</x:v>
      </x:c>
      <x:c r="J247" s="38" t="n">
        <x:v>0.03</x:v>
      </x:c>
      <x:c r="K247" s="36" t="n">
        <x:v>135.7</x:v>
      </x:c>
      <x:c r="L247" s="36" t="n">
        <x:v>135.7</x:v>
      </x:c>
    </x:row>
    <x:row r="248">
      <x:c r="A248" s="34" t="n">
        <x:v>247</x:v>
      </x:c>
      <x:c r="B248" s="34" t="n">
        <x:v>146</x:v>
      </x:c>
      <x:c r="C248" s="34" t="n">
        <x:v>18</x:v>
      </x:c>
      <x:c r="D248" t="str">
        <x:v>Cooler para Processador</x:v>
      </x:c>
      <x:c r="E248" t="str">
        <x:v>Componentes</x:v>
      </x:c>
      <x:c r="F248" s="34" t="n">
        <x:v>2</x:v>
      </x:c>
      <x:c r="G248" t="str">
        <x:v>Mega Componentes</x:v>
      </x:c>
      <x:c r="H248" s="34" t="n">
        <x:v>2</x:v>
      </x:c>
      <x:c r="I248" s="36" t="n">
        <x:v>99.9</x:v>
      </x:c>
      <x:c r="J248" s="38" t="n">
        <x:v>0</x:v>
      </x:c>
      <x:c r="K248" s="36" t="n">
        <x:v>99.9</x:v>
      </x:c>
      <x:c r="L248" s="36" t="n">
        <x:v>199.8</x:v>
      </x:c>
    </x:row>
    <x:row r="249">
      <x:c r="A249" s="34" t="n">
        <x:v>248</x:v>
      </x:c>
      <x:c r="B249" s="34" t="n">
        <x:v>146</x:v>
      </x:c>
      <x:c r="C249" s="34" t="n">
        <x:v>2</x:v>
      </x:c>
      <x:c r="D249" t="str">
        <x:v>Teclado Membrana ABNT2</x:v>
      </x:c>
      <x:c r="E249" t="str">
        <x:v>Periféricos</x:v>
      </x:c>
      <x:c r="F249" s="34" t="n">
        <x:v>1</x:v>
      </x:c>
      <x:c r="G249" t="str">
        <x:v>TechDistribuidora Brasil</x:v>
      </x:c>
      <x:c r="H249" s="34" t="n">
        <x:v>1</x:v>
      </x:c>
      <x:c r="I249" s="36" t="n">
        <x:v>89.9</x:v>
      </x:c>
      <x:c r="J249" s="38" t="n">
        <x:v>0.05</x:v>
      </x:c>
      <x:c r="K249" s="36" t="n">
        <x:v>85.41</x:v>
      </x:c>
      <x:c r="L249" s="36" t="n">
        <x:v>85.41</x:v>
      </x:c>
    </x:row>
    <x:row r="250">
      <x:c r="A250" s="34" t="n">
        <x:v>249</x:v>
      </x:c>
      <x:c r="B250" s="34" t="n">
        <x:v>147</x:v>
      </x:c>
      <x:c r="C250" s="34" t="n">
        <x:v>27</x:v>
      </x:c>
      <x:c r="D250" t="str">
        <x:v>Placa de Rede PCIe</x:v>
      </x:c>
      <x:c r="E250" t="str">
        <x:v>Rede</x:v>
      </x:c>
      <x:c r="F250" s="34" t="n">
        <x:v>6</x:v>
      </x:c>
      <x:c r="G250" t="str">
        <x:v>Connect Rede</x:v>
      </x:c>
      <x:c r="H250" s="34" t="n">
        <x:v>1</x:v>
      </x:c>
      <x:c r="I250" s="36" t="n">
        <x:v>79.9</x:v>
      </x:c>
      <x:c r="J250" s="38" t="n">
        <x:v>0</x:v>
      </x:c>
      <x:c r="K250" s="36" t="n">
        <x:v>79.9</x:v>
      </x:c>
      <x:c r="L250" s="36" t="n">
        <x:v>79.9</x:v>
      </x:c>
    </x:row>
    <x:row r="251">
      <x:c r="A251" s="34" t="n">
        <x:v>250</x:v>
      </x:c>
      <x:c r="B251" s="34" t="n">
        <x:v>148</x:v>
      </x:c>
      <x:c r="C251" s="34" t="n">
        <x:v>11</x:v>
      </x:c>
      <x:c r="D251" t="str">
        <x:v>SSD NVMe 500GB</x:v>
      </x:c>
      <x:c r="E251" t="str">
        <x:v>Armazenamento</x:v>
      </x:c>
      <x:c r="F251" s="34" t="n">
        <x:v>5</x:v>
      </x:c>
      <x:c r="G251" t="str">
        <x:v>FastHardware</x:v>
      </x:c>
      <x:c r="H251" s="34" t="n">
        <x:v>1</x:v>
      </x:c>
      <x:c r="I251" s="36" t="n">
        <x:v>329.9</x:v>
      </x:c>
      <x:c r="J251" s="38" t="n">
        <x:v>0.08</x:v>
      </x:c>
      <x:c r="K251" s="36" t="n">
        <x:v>303.51</x:v>
      </x:c>
      <x:c r="L251" s="36" t="n">
        <x:v>303.51</x:v>
      </x:c>
    </x:row>
    <x:row r="252">
      <x:c r="A252" s="34" t="n">
        <x:v>251</x:v>
      </x:c>
      <x:c r="B252" s="34" t="n">
        <x:v>148</x:v>
      </x:c>
      <x:c r="C252" s="34" t="n">
        <x:v>6</x:v>
      </x:c>
      <x:c r="D252" t="str">
        <x:v>Cabo HDMI 2m</x:v>
      </x:c>
      <x:c r="E252" t="str">
        <x:v>Acessórios</x:v>
      </x:c>
      <x:c r="F252" s="34" t="n">
        <x:v>3</x:v>
      </x:c>
      <x:c r="G252" t="str">
        <x:v>Prime Eletrônicos</x:v>
      </x:c>
      <x:c r="H252" s="34" t="n">
        <x:v>1</x:v>
      </x:c>
      <x:c r="I252" s="36" t="n">
        <x:v>29.9</x:v>
      </x:c>
      <x:c r="J252" s="38" t="n">
        <x:v>0</x:v>
      </x:c>
      <x:c r="K252" s="36" t="n">
        <x:v>29.9</x:v>
      </x:c>
      <x:c r="L252" s="36" t="n">
        <x:v>29.9</x:v>
      </x:c>
    </x:row>
    <x:row r="253">
      <x:c r="A253" s="34" t="n">
        <x:v>252</x:v>
      </x:c>
      <x:c r="B253" s="34" t="n">
        <x:v>149</x:v>
      </x:c>
      <x:c r="C253" s="34" t="n">
        <x:v>28</x:v>
      </x:c>
      <x:c r="D253" t="str">
        <x:v>Repetidor Wi-Fi</x:v>
      </x:c>
      <x:c r="E253" t="str">
        <x:v>Rede</x:v>
      </x:c>
      <x:c r="F253" s="34" t="n">
        <x:v>6</x:v>
      </x:c>
      <x:c r="G253" t="str">
        <x:v>Connect Rede</x:v>
      </x:c>
      <x:c r="H253" s="34" t="n">
        <x:v>1</x:v>
      </x:c>
      <x:c r="I253" s="36" t="n">
        <x:v>139.9</x:v>
      </x:c>
      <x:c r="J253" s="38" t="n">
        <x:v>0.1</x:v>
      </x:c>
      <x:c r="K253" s="36" t="n">
        <x:v>125.91</x:v>
      </x:c>
      <x:c r="L253" s="36" t="n">
        <x:v>125.91</x:v>
      </x:c>
    </x:row>
    <x:row r="254">
      <x:c r="A254" s="34" t="n">
        <x:v>253</x:v>
      </x:c>
      <x:c r="B254" s="34" t="n">
        <x:v>150</x:v>
      </x:c>
      <x:c r="C254" s="34" t="n">
        <x:v>6</x:v>
      </x:c>
      <x:c r="D254" t="str">
        <x:v>Cabo HDMI 2m</x:v>
      </x:c>
      <x:c r="E254" t="str">
        <x:v>Acessórios</x:v>
      </x:c>
      <x:c r="F254" s="34" t="n">
        <x:v>3</x:v>
      </x:c>
      <x:c r="G254" t="str">
        <x:v>Prime Eletrônicos</x:v>
      </x:c>
      <x:c r="H254" s="34" t="n">
        <x:v>5</x:v>
      </x:c>
      <x:c r="I254" s="36" t="n">
        <x:v>29.9</x:v>
      </x:c>
      <x:c r="J254" s="38" t="n">
        <x:v>0</x:v>
      </x:c>
      <x:c r="K254" s="36" t="n">
        <x:v>29.9</x:v>
      </x:c>
      <x:c r="L254" s="36" t="n">
        <x:v>149.5</x:v>
      </x:c>
    </x:row>
    <x:row r="255">
      <x:c r="A255" s="34" t="n">
        <x:v>254</x:v>
      </x:c>
      <x:c r="B255" s="34" t="n">
        <x:v>151</x:v>
      </x:c>
      <x:c r="C255" s="34" t="n">
        <x:v>6</x:v>
      </x:c>
      <x:c r="D255" t="str">
        <x:v>Cabo HDMI 2m</x:v>
      </x:c>
      <x:c r="E255" t="str">
        <x:v>Acessórios</x:v>
      </x:c>
      <x:c r="F255" s="34" t="n">
        <x:v>3</x:v>
      </x:c>
      <x:c r="G255" t="str">
        <x:v>Prime Eletrônicos</x:v>
      </x:c>
      <x:c r="H255" s="34" t="n">
        <x:v>1</x:v>
      </x:c>
      <x:c r="I255" s="36" t="n">
        <x:v>29.9</x:v>
      </x:c>
      <x:c r="J255" s="38" t="n">
        <x:v>0.12</x:v>
      </x:c>
      <x:c r="K255" s="36" t="n">
        <x:v>26.31</x:v>
      </x:c>
      <x:c r="L255" s="36" t="n">
        <x:v>26.31</x:v>
      </x:c>
    </x:row>
    <x:row r="256">
      <x:c r="A256" s="34" t="n">
        <x:v>255</x:v>
      </x:c>
      <x:c r="B256" s="34" t="n">
        <x:v>151</x:v>
      </x:c>
      <x:c r="C256" s="34" t="n">
        <x:v>2</x:v>
      </x:c>
      <x:c r="D256" t="str">
        <x:v>Teclado Membrana ABNT2</x:v>
      </x:c>
      <x:c r="E256" t="str">
        <x:v>Periféricos</x:v>
      </x:c>
      <x:c r="F256" s="34" t="n">
        <x:v>1</x:v>
      </x:c>
      <x:c r="G256" t="str">
        <x:v>TechDistribuidora Brasil</x:v>
      </x:c>
      <x:c r="H256" s="34" t="n">
        <x:v>3</x:v>
      </x:c>
      <x:c r="I256" s="36" t="n">
        <x:v>89.9</x:v>
      </x:c>
      <x:c r="J256" s="38" t="n">
        <x:v>0.05</x:v>
      </x:c>
      <x:c r="K256" s="36" t="n">
        <x:v>85.41</x:v>
      </x:c>
      <x:c r="L256" s="36" t="n">
        <x:v>256.23</x:v>
      </x:c>
    </x:row>
    <x:row r="257">
      <x:c r="A257" s="34" t="n">
        <x:v>256</x:v>
      </x:c>
      <x:c r="B257" s="34" t="n">
        <x:v>152</x:v>
      </x:c>
      <x:c r="C257" s="34" t="n">
        <x:v>5</x:v>
      </x:c>
      <x:c r="D257" t="str">
        <x:v>Mousepad Grande</x:v>
      </x:c>
      <x:c r="E257" t="str">
        <x:v>Acessórios</x:v>
      </x:c>
      <x:c r="F257" s="34" t="n">
        <x:v>3</x:v>
      </x:c>
      <x:c r="G257" t="str">
        <x:v>Prime Eletrônicos</x:v>
      </x:c>
      <x:c r="H257" s="34" t="n">
        <x:v>1</x:v>
      </x:c>
      <x:c r="I257" s="36" t="n">
        <x:v>39.9</x:v>
      </x:c>
      <x:c r="J257" s="38" t="n">
        <x:v>0.05</x:v>
      </x:c>
      <x:c r="K257" s="36" t="n">
        <x:v>37.9</x:v>
      </x:c>
      <x:c r="L257" s="36" t="n">
        <x:v>37.9</x:v>
      </x:c>
    </x:row>
    <x:row r="258">
      <x:c r="A258" s="34" t="n">
        <x:v>257</x:v>
      </x:c>
      <x:c r="B258" s="34" t="n">
        <x:v>152</x:v>
      </x:c>
      <x:c r="C258" s="34" t="n">
        <x:v>1</x:v>
      </x:c>
      <x:c r="D258" t="str">
        <x:v>Mouse Óptico USB</x:v>
      </x:c>
      <x:c r="E258" t="str">
        <x:v>Periféricos</x:v>
      </x:c>
      <x:c r="F258" s="34" t="n">
        <x:v>1</x:v>
      </x:c>
      <x:c r="G258" t="str">
        <x:v>TechDistribuidora Brasil</x:v>
      </x:c>
      <x:c r="H258" s="34" t="n">
        <x:v>2</x:v>
      </x:c>
      <x:c r="I258" s="36" t="n">
        <x:v>49.9</x:v>
      </x:c>
      <x:c r="J258" s="38" t="n">
        <x:v>0.05</x:v>
      </x:c>
      <x:c r="K258" s="36" t="n">
        <x:v>47.4</x:v>
      </x:c>
      <x:c r="L258" s="36" t="n">
        <x:v>94.8</x:v>
      </x:c>
    </x:row>
    <x:row r="259">
      <x:c r="A259" s="34" t="n">
        <x:v>258</x:v>
      </x:c>
      <x:c r="B259" s="34" t="n">
        <x:v>153</x:v>
      </x:c>
      <x:c r="C259" s="34" t="n">
        <x:v>7</x:v>
      </x:c>
      <x:c r="D259" t="str">
        <x:v>Adaptador USB-C HDMI</x:v>
      </x:c>
      <x:c r="E259" t="str">
        <x:v>Acessórios</x:v>
      </x:c>
      <x:c r="F259" s="34" t="n">
        <x:v>3</x:v>
      </x:c>
      <x:c r="G259" t="str">
        <x:v>Prime Eletrônicos</x:v>
      </x:c>
      <x:c r="H259" s="34" t="n">
        <x:v>2</x:v>
      </x:c>
      <x:c r="I259" s="36" t="n">
        <x:v>119.9</x:v>
      </x:c>
      <x:c r="J259" s="38" t="n">
        <x:v>0.05</x:v>
      </x:c>
      <x:c r="K259" s="36" t="n">
        <x:v>113.91</x:v>
      </x:c>
      <x:c r="L259" s="36" t="n">
        <x:v>227.82</x:v>
      </x:c>
    </x:row>
    <x:row r="260">
      <x:c r="A260" s="34" t="n">
        <x:v>259</x:v>
      </x:c>
      <x:c r="B260" s="34" t="n">
        <x:v>153</x:v>
      </x:c>
      <x:c r="C260" s="34" t="n">
        <x:v>28</x:v>
      </x:c>
      <x:c r="D260" t="str">
        <x:v>Repetidor Wi-Fi</x:v>
      </x:c>
      <x:c r="E260" t="str">
        <x:v>Rede</x:v>
      </x:c>
      <x:c r="F260" s="34" t="n">
        <x:v>6</x:v>
      </x:c>
      <x:c r="G260" t="str">
        <x:v>Connect Rede</x:v>
      </x:c>
      <x:c r="H260" s="34" t="n">
        <x:v>1</x:v>
      </x:c>
      <x:c r="I260" s="36" t="n">
        <x:v>139.9</x:v>
      </x:c>
      <x:c r="J260" s="38" t="n">
        <x:v>0.03</x:v>
      </x:c>
      <x:c r="K260" s="36" t="n">
        <x:v>135.7</x:v>
      </x:c>
      <x:c r="L260" s="36" t="n">
        <x:v>135.7</x:v>
      </x:c>
    </x:row>
    <x:row r="261">
      <x:c r="A261" s="34" t="n">
        <x:v>260</x:v>
      </x:c>
      <x:c r="B261" s="34" t="n">
        <x:v>153</x:v>
      </x:c>
      <x:c r="C261" s="34" t="n">
        <x:v>3</x:v>
      </x:c>
      <x:c r="D261" t="str">
        <x:v>Headset Gamer P2</x:v>
      </x:c>
      <x:c r="E261" t="str">
        <x:v>Periféricos</x:v>
      </x:c>
      <x:c r="F261" s="34" t="n">
        <x:v>5</x:v>
      </x:c>
      <x:c r="G261" t="str">
        <x:v>FastHardware</x:v>
      </x:c>
      <x:c r="H261" s="34" t="n">
        <x:v>1</x:v>
      </x:c>
      <x:c r="I261" s="36" t="n">
        <x:v>159.9</x:v>
      </x:c>
      <x:c r="J261" s="38" t="n">
        <x:v>0</x:v>
      </x:c>
      <x:c r="K261" s="36" t="n">
        <x:v>159.9</x:v>
      </x:c>
      <x:c r="L261" s="36" t="n">
        <x:v>159.9</x:v>
      </x:c>
    </x:row>
    <x:row r="262">
      <x:c r="A262" s="34" t="n">
        <x:v>261</x:v>
      </x:c>
      <x:c r="B262" s="34" t="n">
        <x:v>153</x:v>
      </x:c>
      <x:c r="C262" s="34" t="n">
        <x:v>5</x:v>
      </x:c>
      <x:c r="D262" t="str">
        <x:v>Mousepad Grande</x:v>
      </x:c>
      <x:c r="E262" t="str">
        <x:v>Acessórios</x:v>
      </x:c>
      <x:c r="F262" s="34" t="n">
        <x:v>3</x:v>
      </x:c>
      <x:c r="G262" t="str">
        <x:v>Prime Eletrônicos</x:v>
      </x:c>
      <x:c r="H262" s="34" t="n">
        <x:v>2</x:v>
      </x:c>
      <x:c r="I262" s="36" t="n">
        <x:v>39.9</x:v>
      </x:c>
      <x:c r="J262" s="38" t="n">
        <x:v>0</x:v>
      </x:c>
      <x:c r="K262" s="36" t="n">
        <x:v>39.9</x:v>
      </x:c>
      <x:c r="L262" s="36" t="n">
        <x:v>79.8</x:v>
      </x:c>
    </x:row>
    <x:row r="263">
      <x:c r="A263" s="34" t="n">
        <x:v>262</x:v>
      </x:c>
      <x:c r="B263" s="34" t="n">
        <x:v>154</x:v>
      </x:c>
      <x:c r="C263" s="34" t="n">
        <x:v>5</x:v>
      </x:c>
      <x:c r="D263" t="str">
        <x:v>Mousepad Grande</x:v>
      </x:c>
      <x:c r="E263" t="str">
        <x:v>Acessórios</x:v>
      </x:c>
      <x:c r="F263" s="34" t="n">
        <x:v>3</x:v>
      </x:c>
      <x:c r="G263" t="str">
        <x:v>Prime Eletrônicos</x:v>
      </x:c>
      <x:c r="H263" s="34" t="n">
        <x:v>1</x:v>
      </x:c>
      <x:c r="I263" s="36" t="n">
        <x:v>39.9</x:v>
      </x:c>
      <x:c r="J263" s="38" t="n">
        <x:v>0</x:v>
      </x:c>
      <x:c r="K263" s="36" t="n">
        <x:v>39.9</x:v>
      </x:c>
      <x:c r="L263" s="36" t="n">
        <x:v>39.9</x:v>
      </x:c>
    </x:row>
    <x:row r="264">
      <x:c r="A264" s="34" t="n">
        <x:v>263</x:v>
      </x:c>
      <x:c r="B264" s="34" t="n">
        <x:v>155</x:v>
      </x:c>
      <x:c r="C264" s="34" t="n">
        <x:v>2</x:v>
      </x:c>
      <x:c r="D264" t="str">
        <x:v>Teclado Membrana ABNT2</x:v>
      </x:c>
      <x:c r="E264" t="str">
        <x:v>Periféricos</x:v>
      </x:c>
      <x:c r="F264" s="34" t="n">
        <x:v>1</x:v>
      </x:c>
      <x:c r="G264" t="str">
        <x:v>TechDistribuidora Brasil</x:v>
      </x:c>
      <x:c r="H264" s="34" t="n">
        <x:v>1</x:v>
      </x:c>
      <x:c r="I264" s="36" t="n">
        <x:v>89.9</x:v>
      </x:c>
      <x:c r="J264" s="38" t="n">
        <x:v>0.08</x:v>
      </x:c>
      <x:c r="K264" s="36" t="n">
        <x:v>82.71</x:v>
      </x:c>
      <x:c r="L264" s="36" t="n">
        <x:v>82.71</x:v>
      </x:c>
    </x:row>
    <x:row r="265">
      <x:c r="A265" s="34" t="n">
        <x:v>264</x:v>
      </x:c>
      <x:c r="B265" s="34" t="n">
        <x:v>155</x:v>
      </x:c>
      <x:c r="C265" s="34" t="n">
        <x:v>8</x:v>
      </x:c>
      <x:c r="D265" t="str">
        <x:v>Suporte Articulado para Monitor</x:v>
      </x:c>
      <x:c r="E265" t="str">
        <x:v>Acessórios</x:v>
      </x:c>
      <x:c r="F265" s="34" t="n">
        <x:v>7</x:v>
      </x:c>
      <x:c r="G265" t="str">
        <x:v>OfficeTech Supply</x:v>
      </x:c>
      <x:c r="H265" s="34" t="n">
        <x:v>1</x:v>
      </x:c>
      <x:c r="I265" s="36" t="n">
        <x:v>149.9</x:v>
      </x:c>
      <x:c r="J265" s="38" t="n">
        <x:v>0.08</x:v>
      </x:c>
      <x:c r="K265" s="36" t="n">
        <x:v>137.91</x:v>
      </x:c>
      <x:c r="L265" s="36" t="n">
        <x:v>137.91</x:v>
      </x:c>
    </x:row>
    <x:row r="266">
      <x:c r="A266" s="34" t="n">
        <x:v>265</x:v>
      </x:c>
      <x:c r="B266" s="34" t="n">
        <x:v>156</x:v>
      </x:c>
      <x:c r="C266" s="34" t="n">
        <x:v>1</x:v>
      </x:c>
      <x:c r="D266" t="str">
        <x:v>Mouse Óptico USB</x:v>
      </x:c>
      <x:c r="E266" t="str">
        <x:v>Periféricos</x:v>
      </x:c>
      <x:c r="F266" s="34" t="n">
        <x:v>1</x:v>
      </x:c>
      <x:c r="G266" t="str">
        <x:v>TechDistribuidora Brasil</x:v>
      </x:c>
      <x:c r="H266" s="34" t="n">
        <x:v>1</x:v>
      </x:c>
      <x:c r="I266" s="36" t="n">
        <x:v>49.9</x:v>
      </x:c>
      <x:c r="J266" s="38" t="n">
        <x:v>0.12</x:v>
      </x:c>
      <x:c r="K266" s="36" t="n">
        <x:v>43.91</x:v>
      </x:c>
      <x:c r="L266" s="36" t="n">
        <x:v>43.91</x:v>
      </x:c>
    </x:row>
    <x:row r="267">
      <x:c r="A267" s="34" t="n">
        <x:v>266</x:v>
      </x:c>
      <x:c r="B267" s="34" t="n">
        <x:v>156</x:v>
      </x:c>
      <x:c r="C267" s="34" t="n">
        <x:v>26</x:v>
      </x:c>
      <x:c r="D267" t="str">
        <x:v>Switch 8 Portas Gigabit</x:v>
      </x:c>
      <x:c r="E267" t="str">
        <x:v>Rede</x:v>
      </x:c>
      <x:c r="F267" s="34" t="n">
        <x:v>6</x:v>
      </x:c>
      <x:c r="G267" t="str">
        <x:v>Connect Rede</x:v>
      </x:c>
      <x:c r="H267" s="34" t="n">
        <x:v>1</x:v>
      </x:c>
      <x:c r="I267" s="36" t="n">
        <x:v>189.9</x:v>
      </x:c>
      <x:c r="J267" s="38" t="n">
        <x:v>0</x:v>
      </x:c>
      <x:c r="K267" s="36" t="n">
        <x:v>189.9</x:v>
      </x:c>
      <x:c r="L267" s="36" t="n">
        <x:v>189.9</x:v>
      </x:c>
    </x:row>
    <x:row r="268">
      <x:c r="A268" s="34" t="n">
        <x:v>267</x:v>
      </x:c>
      <x:c r="B268" s="34" t="n">
        <x:v>157</x:v>
      </x:c>
      <x:c r="C268" s="34" t="n">
        <x:v>2</x:v>
      </x:c>
      <x:c r="D268" t="str">
        <x:v>Teclado Membrana ABNT2</x:v>
      </x:c>
      <x:c r="E268" t="str">
        <x:v>Periféricos</x:v>
      </x:c>
      <x:c r="F268" s="34" t="n">
        <x:v>1</x:v>
      </x:c>
      <x:c r="G268" t="str">
        <x:v>TechDistribuidora Brasil</x:v>
      </x:c>
      <x:c r="H268" s="34" t="n">
        <x:v>1</x:v>
      </x:c>
      <x:c r="I268" s="36" t="n">
        <x:v>89.9</x:v>
      </x:c>
      <x:c r="J268" s="38" t="n">
        <x:v>0.05</x:v>
      </x:c>
      <x:c r="K268" s="36" t="n">
        <x:v>85.41</x:v>
      </x:c>
      <x:c r="L268" s="36" t="n">
        <x:v>85.41</x:v>
      </x:c>
    </x:row>
    <x:row r="269">
      <x:c r="A269" s="34" t="n">
        <x:v>268</x:v>
      </x:c>
      <x:c r="B269" s="34" t="n">
        <x:v>157</x:v>
      </x:c>
      <x:c r="C269" s="34" t="n">
        <x:v>25</x:v>
      </x:c>
      <x:c r="D269" t="str">
        <x:v>Roteador Wi-Fi AC1200</x:v>
      </x:c>
      <x:c r="E269" t="str">
        <x:v>Rede</x:v>
      </x:c>
      <x:c r="F269" s="34" t="n">
        <x:v>6</x:v>
      </x:c>
      <x:c r="G269" t="str">
        <x:v>Connect Rede</x:v>
      </x:c>
      <x:c r="H269" s="34" t="n">
        <x:v>3</x:v>
      </x:c>
      <x:c r="I269" s="36" t="n">
        <x:v>249.9</x:v>
      </x:c>
      <x:c r="J269" s="38" t="n">
        <x:v>0</x:v>
      </x:c>
      <x:c r="K269" s="36" t="n">
        <x:v>249.9</x:v>
      </x:c>
      <x:c r="L269" s="36" t="n">
        <x:v>749.7</x:v>
      </x:c>
    </x:row>
    <x:row r="270">
      <x:c r="A270" s="34" t="n">
        <x:v>269</x:v>
      </x:c>
      <x:c r="B270" s="34" t="n">
        <x:v>158</x:v>
      </x:c>
      <x:c r="C270" s="34" t="n">
        <x:v>1</x:v>
      </x:c>
      <x:c r="D270" t="str">
        <x:v>Mouse Óptico USB</x:v>
      </x:c>
      <x:c r="E270" t="str">
        <x:v>Periféricos</x:v>
      </x:c>
      <x:c r="F270" s="34" t="n">
        <x:v>1</x:v>
      </x:c>
      <x:c r="G270" t="str">
        <x:v>TechDistribuidora Brasil</x:v>
      </x:c>
      <x:c r="H270" s="34" t="n">
        <x:v>1</x:v>
      </x:c>
      <x:c r="I270" s="36" t="n">
        <x:v>49.9</x:v>
      </x:c>
      <x:c r="J270" s="38" t="n">
        <x:v>0.03</x:v>
      </x:c>
      <x:c r="K270" s="36" t="n">
        <x:v>48.4</x:v>
      </x:c>
      <x:c r="L270" s="36" t="n">
        <x:v>48.4</x:v>
      </x:c>
    </x:row>
    <x:row r="271">
      <x:c r="A271" s="34" t="n">
        <x:v>270</x:v>
      </x:c>
      <x:c r="B271" s="34" t="n">
        <x:v>158</x:v>
      </x:c>
      <x:c r="C271" s="34" t="n">
        <x:v>27</x:v>
      </x:c>
      <x:c r="D271" t="str">
        <x:v>Placa de Rede PCIe</x:v>
      </x:c>
      <x:c r="E271" t="str">
        <x:v>Rede</x:v>
      </x:c>
      <x:c r="F271" s="34" t="n">
        <x:v>6</x:v>
      </x:c>
      <x:c r="G271" t="str">
        <x:v>Connect Rede</x:v>
      </x:c>
      <x:c r="H271" s="34" t="n">
        <x:v>2</x:v>
      </x:c>
      <x:c r="I271" s="36" t="n">
        <x:v>79.9</x:v>
      </x:c>
      <x:c r="J271" s="38" t="n">
        <x:v>0</x:v>
      </x:c>
      <x:c r="K271" s="36" t="n">
        <x:v>79.9</x:v>
      </x:c>
      <x:c r="L271" s="36" t="n">
        <x:v>159.8</x:v>
      </x:c>
    </x:row>
    <x:row r="272">
      <x:c r="A272" s="34" t="n">
        <x:v>271</x:v>
      </x:c>
      <x:c r="B272" s="34" t="n">
        <x:v>158</x:v>
      </x:c>
      <x:c r="C272" s="34" t="n">
        <x:v>8</x:v>
      </x:c>
      <x:c r="D272" t="str">
        <x:v>Suporte Articulado para Monitor</x:v>
      </x:c>
      <x:c r="E272" t="str">
        <x:v>Acessórios</x:v>
      </x:c>
      <x:c r="F272" s="34" t="n">
        <x:v>7</x:v>
      </x:c>
      <x:c r="G272" t="str">
        <x:v>OfficeTech Supply</x:v>
      </x:c>
      <x:c r="H272" s="34" t="n">
        <x:v>1</x:v>
      </x:c>
      <x:c r="I272" s="36" t="n">
        <x:v>149.9</x:v>
      </x:c>
      <x:c r="J272" s="38" t="n">
        <x:v>0.05</x:v>
      </x:c>
      <x:c r="K272" s="36" t="n">
        <x:v>142.41</x:v>
      </x:c>
      <x:c r="L272" s="36" t="n">
        <x:v>142.41</x:v>
      </x:c>
    </x:row>
    <x:row r="273">
      <x:c r="A273" s="34" t="n">
        <x:v>272</x:v>
      </x:c>
      <x:c r="B273" s="34" t="n">
        <x:v>159</x:v>
      </x:c>
      <x:c r="C273" s="34" t="n">
        <x:v>5</x:v>
      </x:c>
      <x:c r="D273" t="str">
        <x:v>Mousepad Grande</x:v>
      </x:c>
      <x:c r="E273" t="str">
        <x:v>Acessórios</x:v>
      </x:c>
      <x:c r="F273" s="34" t="n">
        <x:v>3</x:v>
      </x:c>
      <x:c r="G273" t="str">
        <x:v>Prime Eletrônicos</x:v>
      </x:c>
      <x:c r="H273" s="34" t="n">
        <x:v>1</x:v>
      </x:c>
      <x:c r="I273" s="36" t="n">
        <x:v>39.9</x:v>
      </x:c>
      <x:c r="J273" s="38" t="n">
        <x:v>0</x:v>
      </x:c>
      <x:c r="K273" s="36" t="n">
        <x:v>39.9</x:v>
      </x:c>
      <x:c r="L273" s="36" t="n">
        <x:v>39.9</x:v>
      </x:c>
    </x:row>
    <x:row r="274">
      <x:c r="A274" s="34" t="n">
        <x:v>273</x:v>
      </x:c>
      <x:c r="B274" s="34" t="n">
        <x:v>159</x:v>
      </x:c>
      <x:c r="C274" s="34" t="n">
        <x:v>8</x:v>
      </x:c>
      <x:c r="D274" t="str">
        <x:v>Suporte Articulado para Monitor</x:v>
      </x:c>
      <x:c r="E274" t="str">
        <x:v>Acessórios</x:v>
      </x:c>
      <x:c r="F274" s="34" t="n">
        <x:v>7</x:v>
      </x:c>
      <x:c r="G274" t="str">
        <x:v>OfficeTech Supply</x:v>
      </x:c>
      <x:c r="H274" s="34" t="n">
        <x:v>2</x:v>
      </x:c>
      <x:c r="I274" s="36" t="n">
        <x:v>149.9</x:v>
      </x:c>
      <x:c r="J274" s="38" t="n">
        <x:v>0.05</x:v>
      </x:c>
      <x:c r="K274" s="36" t="n">
        <x:v>142.41</x:v>
      </x:c>
      <x:c r="L274" s="36" t="n">
        <x:v>284.82</x:v>
      </x:c>
    </x:row>
    <x:row r="275">
      <x:c r="A275" s="34" t="n">
        <x:v>274</x:v>
      </x:c>
      <x:c r="B275" s="34" t="n">
        <x:v>159</x:v>
      </x:c>
      <x:c r="C275" s="34" t="n">
        <x:v>3</x:v>
      </x:c>
      <x:c r="D275" t="str">
        <x:v>Headset Gamer P2</x:v>
      </x:c>
      <x:c r="E275" t="str">
        <x:v>Periféricos</x:v>
      </x:c>
      <x:c r="F275" s="34" t="n">
        <x:v>5</x:v>
      </x:c>
      <x:c r="G275" t="str">
        <x:v>FastHardware</x:v>
      </x:c>
      <x:c r="H275" s="34" t="n">
        <x:v>1</x:v>
      </x:c>
      <x:c r="I275" s="36" t="n">
        <x:v>159.9</x:v>
      </x:c>
      <x:c r="J275" s="38" t="n">
        <x:v>0.12</x:v>
      </x:c>
      <x:c r="K275" s="36" t="n">
        <x:v>140.71</x:v>
      </x:c>
      <x:c r="L275" s="36" t="n">
        <x:v>140.71</x:v>
      </x:c>
    </x:row>
    <x:row r="276">
      <x:c r="A276" s="34" t="n">
        <x:v>275</x:v>
      </x:c>
      <x:c r="B276" s="34" t="n">
        <x:v>160</x:v>
      </x:c>
      <x:c r="C276" s="34" t="n">
        <x:v>22</x:v>
      </x:c>
      <x:c r="D276" t="str">
        <x:v>Notebook Intel i3 8GB</x:v>
      </x:c>
      <x:c r="E276" t="str">
        <x:v>Notebooks</x:v>
      </x:c>
      <x:c r="F276" s="34" t="n">
        <x:v>4</x:v>
      </x:c>
      <x:c r="G276" t="str">
        <x:v>InfoMax Atacado</x:v>
      </x:c>
      <x:c r="H276" s="34" t="n">
        <x:v>1</x:v>
      </x:c>
      <x:c r="I276" s="36" t="n">
        <x:v>2399.9</x:v>
      </x:c>
      <x:c r="J276" s="38" t="n">
        <x:v>0.12</x:v>
      </x:c>
      <x:c r="K276" s="36" t="n">
        <x:v>2111.91</x:v>
      </x:c>
      <x:c r="L276" s="36" t="n">
        <x:v>2111.91</x:v>
      </x:c>
    </x:row>
    <x:row r="277">
      <x:c r="A277" s="34" t="n">
        <x:v>276</x:v>
      </x:c>
      <x:c r="B277" s="34" t="n">
        <x:v>160</x:v>
      </x:c>
      <x:c r="C277" s="34" t="n">
        <x:v>6</x:v>
      </x:c>
      <x:c r="D277" t="str">
        <x:v>Cabo HDMI 2m</x:v>
      </x:c>
      <x:c r="E277" t="str">
        <x:v>Acessórios</x:v>
      </x:c>
      <x:c r="F277" s="34" t="n">
        <x:v>3</x:v>
      </x:c>
      <x:c r="G277" t="str">
        <x:v>Prime Eletrônicos</x:v>
      </x:c>
      <x:c r="H277" s="34" t="n">
        <x:v>2</x:v>
      </x:c>
      <x:c r="I277" s="36" t="n">
        <x:v>29.9</x:v>
      </x:c>
      <x:c r="J277" s="38" t="n">
        <x:v>0.05</x:v>
      </x:c>
      <x:c r="K277" s="36" t="n">
        <x:v>28.4</x:v>
      </x:c>
      <x:c r="L277" s="36" t="n">
        <x:v>56.8</x:v>
      </x:c>
    </x:row>
    <x:row r="278">
      <x:c r="A278" s="34" t="n">
        <x:v>277</x:v>
      </x:c>
      <x:c r="B278" s="34" t="n">
        <x:v>160</x:v>
      </x:c>
      <x:c r="C278" s="34" t="n">
        <x:v>10</x:v>
      </x:c>
      <x:c r="D278" t="str">
        <x:v>SSD 480GB SATA</x:v>
      </x:c>
      <x:c r="E278" t="str">
        <x:v>Armazenamento</x:v>
      </x:c>
      <x:c r="F278" s="34" t="n">
        <x:v>2</x:v>
      </x:c>
      <x:c r="G278" t="str">
        <x:v>Mega Componentes</x:v>
      </x:c>
      <x:c r="H278" s="34" t="n">
        <x:v>3</x:v>
      </x:c>
      <x:c r="I278" s="36" t="n">
        <x:v>259.9</x:v>
      </x:c>
      <x:c r="J278" s="38" t="n">
        <x:v>0.12</x:v>
      </x:c>
      <x:c r="K278" s="36" t="n">
        <x:v>228.71</x:v>
      </x:c>
      <x:c r="L278" s="36" t="n">
        <x:v>686.13</x:v>
      </x:c>
    </x:row>
    <x:row r="279">
      <x:c r="A279" s="34" t="n">
        <x:v>278</x:v>
      </x:c>
      <x:c r="B279" s="34" t="n">
        <x:v>160</x:v>
      </x:c>
      <x:c r="C279" s="34" t="n">
        <x:v>8</x:v>
      </x:c>
      <x:c r="D279" t="str">
        <x:v>Suporte Articulado para Monitor</x:v>
      </x:c>
      <x:c r="E279" t="str">
        <x:v>Acessórios</x:v>
      </x:c>
      <x:c r="F279" s="34" t="n">
        <x:v>7</x:v>
      </x:c>
      <x:c r="G279" t="str">
        <x:v>OfficeTech Supply</x:v>
      </x:c>
      <x:c r="H279" s="34" t="n">
        <x:v>1</x:v>
      </x:c>
      <x:c r="I279" s="36" t="n">
        <x:v>149.9</x:v>
      </x:c>
      <x:c r="J279" s="38" t="n">
        <x:v>0.05</x:v>
      </x:c>
      <x:c r="K279" s="36" t="n">
        <x:v>142.41</x:v>
      </x:c>
      <x:c r="L279" s="36" t="n">
        <x:v>142.41</x:v>
      </x:c>
    </x:row>
    <x:row r="280">
      <x:c r="A280" s="34" t="n">
        <x:v>279</x:v>
      </x:c>
      <x:c r="B280" s="34" t="n">
        <x:v>161</x:v>
      </x:c>
      <x:c r="C280" s="34" t="n">
        <x:v>18</x:v>
      </x:c>
      <x:c r="D280" t="str">
        <x:v>Cooler para Processador</x:v>
      </x:c>
      <x:c r="E280" t="str">
        <x:v>Componentes</x:v>
      </x:c>
      <x:c r="F280" s="34" t="n">
        <x:v>2</x:v>
      </x:c>
      <x:c r="G280" t="str">
        <x:v>Mega Componentes</x:v>
      </x:c>
      <x:c r="H280" s="34" t="n">
        <x:v>1</x:v>
      </x:c>
      <x:c r="I280" s="36" t="n">
        <x:v>99.9</x:v>
      </x:c>
      <x:c r="J280" s="38" t="n">
        <x:v>0</x:v>
      </x:c>
      <x:c r="K280" s="36" t="n">
        <x:v>99.9</x:v>
      </x:c>
      <x:c r="L280" s="36" t="n">
        <x:v>99.9</x:v>
      </x:c>
    </x:row>
    <x:row r="281">
      <x:c r="A281" s="34" t="n">
        <x:v>280</x:v>
      </x:c>
      <x:c r="B281" s="34" t="n">
        <x:v>161</x:v>
      </x:c>
      <x:c r="C281" s="34" t="n">
        <x:v>19</x:v>
      </x:c>
      <x:c r="D281" t="str">
        <x:v>Monitor LED 21.5"</x:v>
      </x:c>
      <x:c r="E281" t="str">
        <x:v>Monitores</x:v>
      </x:c>
      <x:c r="F281" s="34" t="n">
        <x:v>8</x:v>
      </x:c>
      <x:c r="G281" t="str">
        <x:v>Brasil Monitores</x:v>
      </x:c>
      <x:c r="H281" s="34" t="n">
        <x:v>1</x:v>
      </x:c>
      <x:c r="I281" s="36" t="n">
        <x:v>679.9</x:v>
      </x:c>
      <x:c r="J281" s="38" t="n">
        <x:v>0.05</x:v>
      </x:c>
      <x:c r="K281" s="36" t="n">
        <x:v>645.9</x:v>
      </x:c>
      <x:c r="L281" s="36" t="n">
        <x:v>645.9</x:v>
      </x:c>
    </x:row>
    <x:row r="282">
      <x:c r="A282" s="34" t="n">
        <x:v>281</x:v>
      </x:c>
      <x:c r="B282" s="34" t="n">
        <x:v>161</x:v>
      </x:c>
      <x:c r="C282" s="34" t="n">
        <x:v>28</x:v>
      </x:c>
      <x:c r="D282" t="str">
        <x:v>Repetidor Wi-Fi</x:v>
      </x:c>
      <x:c r="E282" t="str">
        <x:v>Rede</x:v>
      </x:c>
      <x:c r="F282" s="34" t="n">
        <x:v>6</x:v>
      </x:c>
      <x:c r="G282" t="str">
        <x:v>Connect Rede</x:v>
      </x:c>
      <x:c r="H282" s="34" t="n">
        <x:v>1</x:v>
      </x:c>
      <x:c r="I282" s="36" t="n">
        <x:v>139.9</x:v>
      </x:c>
      <x:c r="J282" s="38" t="n">
        <x:v>0.03</x:v>
      </x:c>
      <x:c r="K282" s="36" t="n">
        <x:v>135.7</x:v>
      </x:c>
      <x:c r="L282" s="36" t="n">
        <x:v>135.7</x:v>
      </x:c>
    </x:row>
    <x:row r="283">
      <x:c r="A283" s="34" t="n">
        <x:v>282</x:v>
      </x:c>
      <x:c r="B283" s="34" t="n">
        <x:v>162</x:v>
      </x:c>
      <x:c r="C283" s="34" t="n">
        <x:v>11</x:v>
      </x:c>
      <x:c r="D283" t="str">
        <x:v>SSD NVMe 500GB</x:v>
      </x:c>
      <x:c r="E283" t="str">
        <x:v>Armazenamento</x:v>
      </x:c>
      <x:c r="F283" s="34" t="n">
        <x:v>5</x:v>
      </x:c>
      <x:c r="G283" t="str">
        <x:v>FastHardware</x:v>
      </x:c>
      <x:c r="H283" s="34" t="n">
        <x:v>1</x:v>
      </x:c>
      <x:c r="I283" s="36" t="n">
        <x:v>329.9</x:v>
      </x:c>
      <x:c r="J283" s="38" t="n">
        <x:v>0.1</x:v>
      </x:c>
      <x:c r="K283" s="36" t="n">
        <x:v>296.91</x:v>
      </x:c>
      <x:c r="L283" s="36" t="n">
        <x:v>296.91</x:v>
      </x:c>
    </x:row>
    <x:row r="284">
      <x:c r="A284" s="34" t="n">
        <x:v>283</x:v>
      </x:c>
      <x:c r="B284" s="34" t="n">
        <x:v>162</x:v>
      </x:c>
      <x:c r="C284" s="34" t="n">
        <x:v>4</x:v>
      </x:c>
      <x:c r="D284" t="str">
        <x:v>Webcam Full HD</x:v>
      </x:c>
      <x:c r="E284" t="str">
        <x:v>Periféricos</x:v>
      </x:c>
      <x:c r="F284" s="34" t="n">
        <x:v>3</x:v>
      </x:c>
      <x:c r="G284" t="str">
        <x:v>Prime Eletrônicos</x:v>
      </x:c>
      <x:c r="H284" s="34" t="n">
        <x:v>1</x:v>
      </x:c>
      <x:c r="I284" s="36" t="n">
        <x:v>199.9</x:v>
      </x:c>
      <x:c r="J284" s="38" t="n">
        <x:v>0</x:v>
      </x:c>
      <x:c r="K284" s="36" t="n">
        <x:v>199.9</x:v>
      </x:c>
      <x:c r="L284" s="36" t="n">
        <x:v>199.9</x:v>
      </x:c>
    </x:row>
    <x:row r="285">
      <x:c r="A285" s="34" t="n">
        <x:v>284</x:v>
      </x:c>
      <x:c r="B285" s="34" t="n">
        <x:v>162</x:v>
      </x:c>
      <x:c r="C285" s="34" t="n">
        <x:v>29</x:v>
      </x:c>
      <x:c r="D285" t="str">
        <x:v>Impressora Multifuncional</x:v>
      </x:c>
      <x:c r="E285" t="str">
        <x:v>Office</x:v>
      </x:c>
      <x:c r="F285" s="34" t="n">
        <x:v>7</x:v>
      </x:c>
      <x:c r="G285" t="str">
        <x:v>OfficeTech Supply</x:v>
      </x:c>
      <x:c r="H285" s="34" t="n">
        <x:v>2</x:v>
      </x:c>
      <x:c r="I285" s="36" t="n">
        <x:v>699.9</x:v>
      </x:c>
      <x:c r="J285" s="38" t="n">
        <x:v>0.1</x:v>
      </x:c>
      <x:c r="K285" s="36" t="n">
        <x:v>629.91</x:v>
      </x:c>
      <x:c r="L285" s="36" t="n">
        <x:v>1259.82</x:v>
      </x:c>
    </x:row>
    <x:row r="286">
      <x:c r="A286" s="34" t="n">
        <x:v>285</x:v>
      </x:c>
      <x:c r="B286" s="34" t="n">
        <x:v>162</x:v>
      </x:c>
      <x:c r="C286" s="34" t="n">
        <x:v>27</x:v>
      </x:c>
      <x:c r="D286" t="str">
        <x:v>Placa de Rede PCIe</x:v>
      </x:c>
      <x:c r="E286" t="str">
        <x:v>Rede</x:v>
      </x:c>
      <x:c r="F286" s="34" t="n">
        <x:v>6</x:v>
      </x:c>
      <x:c r="G286" t="str">
        <x:v>Connect Rede</x:v>
      </x:c>
      <x:c r="H286" s="34" t="n">
        <x:v>2</x:v>
      </x:c>
      <x:c r="I286" s="36" t="n">
        <x:v>79.9</x:v>
      </x:c>
      <x:c r="J286" s="38" t="n">
        <x:v>0</x:v>
      </x:c>
      <x:c r="K286" s="36" t="n">
        <x:v>79.9</x:v>
      </x:c>
      <x:c r="L286" s="36" t="n">
        <x:v>159.8</x:v>
      </x:c>
    </x:row>
    <x:row r="287">
      <x:c r="A287" s="34" t="n">
        <x:v>286</x:v>
      </x:c>
      <x:c r="B287" s="34" t="n">
        <x:v>163</x:v>
      </x:c>
      <x:c r="C287" s="34" t="n">
        <x:v>3</x:v>
      </x:c>
      <x:c r="D287" t="str">
        <x:v>Headset Gamer P2</x:v>
      </x:c>
      <x:c r="E287" t="str">
        <x:v>Periféricos</x:v>
      </x:c>
      <x:c r="F287" s="34" t="n">
        <x:v>5</x:v>
      </x:c>
      <x:c r="G287" t="str">
        <x:v>FastHardware</x:v>
      </x:c>
      <x:c r="H287" s="34" t="n">
        <x:v>1</x:v>
      </x:c>
      <x:c r="I287" s="36" t="n">
        <x:v>159.9</x:v>
      </x:c>
      <x:c r="J287" s="38" t="n">
        <x:v>0</x:v>
      </x:c>
      <x:c r="K287" s="36" t="n">
        <x:v>159.9</x:v>
      </x:c>
      <x:c r="L287" s="36" t="n">
        <x:v>159.9</x:v>
      </x:c>
    </x:row>
    <x:row r="288">
      <x:c r="A288" s="34" t="n">
        <x:v>287</x:v>
      </x:c>
      <x:c r="B288" s="34" t="n">
        <x:v>163</x:v>
      </x:c>
      <x:c r="C288" s="34" t="n">
        <x:v>2</x:v>
      </x:c>
      <x:c r="D288" t="str">
        <x:v>Teclado Membrana ABNT2</x:v>
      </x:c>
      <x:c r="E288" t="str">
        <x:v>Periféricos</x:v>
      </x:c>
      <x:c r="F288" s="34" t="n">
        <x:v>1</x:v>
      </x:c>
      <x:c r="G288" t="str">
        <x:v>TechDistribuidora Brasil</x:v>
      </x:c>
      <x:c r="H288" s="34" t="n">
        <x:v>3</x:v>
      </x:c>
      <x:c r="I288" s="36" t="n">
        <x:v>89.9</x:v>
      </x:c>
      <x:c r="J288" s="38" t="n">
        <x:v>0.05</x:v>
      </x:c>
      <x:c r="K288" s="36" t="n">
        <x:v>85.41</x:v>
      </x:c>
      <x:c r="L288" s="36" t="n">
        <x:v>256.23</x:v>
      </x:c>
    </x:row>
    <x:row r="289">
      <x:c r="A289" s="34" t="n">
        <x:v>288</x:v>
      </x:c>
      <x:c r="B289" s="34" t="n">
        <x:v>164</x:v>
      </x:c>
      <x:c r="C289" s="34" t="n">
        <x:v>14</x:v>
      </x:c>
      <x:c r="D289" t="str">
        <x:v>Memória RAM 16GB DDR4</x:v>
      </x:c>
      <x:c r="E289" t="str">
        <x:v>Componentes</x:v>
      </x:c>
      <x:c r="F289" s="34" t="n">
        <x:v>2</x:v>
      </x:c>
      <x:c r="G289" t="str">
        <x:v>Mega Componentes</x:v>
      </x:c>
      <x:c r="H289" s="34" t="n">
        <x:v>2</x:v>
      </x:c>
      <x:c r="I289" s="36" t="n">
        <x:v>319.9</x:v>
      </x:c>
      <x:c r="J289" s="38" t="n">
        <x:v>0.1</x:v>
      </x:c>
      <x:c r="K289" s="36" t="n">
        <x:v>287.91</x:v>
      </x:c>
      <x:c r="L289" s="36" t="n">
        <x:v>575.82</x:v>
      </x:c>
    </x:row>
    <x:row r="290">
      <x:c r="A290" s="34" t="n">
        <x:v>289</x:v>
      </x:c>
      <x:c r="B290" s="34" t="n">
        <x:v>164</x:v>
      </x:c>
      <x:c r="C290" s="34" t="n">
        <x:v>3</x:v>
      </x:c>
      <x:c r="D290" t="str">
        <x:v>Headset Gamer P2</x:v>
      </x:c>
      <x:c r="E290" t="str">
        <x:v>Periféricos</x:v>
      </x:c>
      <x:c r="F290" s="34" t="n">
        <x:v>5</x:v>
      </x:c>
      <x:c r="G290" t="str">
        <x:v>FastHardware</x:v>
      </x:c>
      <x:c r="H290" s="34" t="n">
        <x:v>3</x:v>
      </x:c>
      <x:c r="I290" s="36" t="n">
        <x:v>159.9</x:v>
      </x:c>
      <x:c r="J290" s="38" t="n">
        <x:v>0</x:v>
      </x:c>
      <x:c r="K290" s="36" t="n">
        <x:v>159.9</x:v>
      </x:c>
      <x:c r="L290" s="36" t="n">
        <x:v>479.7</x:v>
      </x:c>
    </x:row>
    <x:row r="291">
      <x:c r="A291" s="34" t="n">
        <x:v>290</x:v>
      </x:c>
      <x:c r="B291" s="34" t="n">
        <x:v>164</x:v>
      </x:c>
      <x:c r="C291" s="34" t="n">
        <x:v>28</x:v>
      </x:c>
      <x:c r="D291" t="str">
        <x:v>Repetidor Wi-Fi</x:v>
      </x:c>
      <x:c r="E291" t="str">
        <x:v>Rede</x:v>
      </x:c>
      <x:c r="F291" s="34" t="n">
        <x:v>6</x:v>
      </x:c>
      <x:c r="G291" t="str">
        <x:v>Connect Rede</x:v>
      </x:c>
      <x:c r="H291" s="34" t="n">
        <x:v>3</x:v>
      </x:c>
      <x:c r="I291" s="36" t="n">
        <x:v>139.9</x:v>
      </x:c>
      <x:c r="J291" s="38" t="n">
        <x:v>0.1</x:v>
      </x:c>
      <x:c r="K291" s="36" t="n">
        <x:v>125.91</x:v>
      </x:c>
      <x:c r="L291" s="36" t="n">
        <x:v>377.73</x:v>
      </x:c>
    </x:row>
    <x:row r="292">
      <x:c r="A292" s="34" t="n">
        <x:v>291</x:v>
      </x:c>
      <x:c r="B292" s="34" t="n">
        <x:v>164</x:v>
      </x:c>
      <x:c r="C292" s="34" t="n">
        <x:v>16</x:v>
      </x:c>
      <x:c r="D292" t="str">
        <x:v>Placa de Vídeo GTX 1650</x:v>
      </x:c>
      <x:c r="E292" t="str">
        <x:v>Componentes</x:v>
      </x:c>
      <x:c r="F292" s="34" t="n">
        <x:v>5</x:v>
      </x:c>
      <x:c r="G292" t="str">
        <x:v>FastHardware</x:v>
      </x:c>
      <x:c r="H292" s="34" t="n">
        <x:v>1</x:v>
      </x:c>
      <x:c r="I292" s="36" t="n">
        <x:v>949.9</x:v>
      </x:c>
      <x:c r="J292" s="38" t="n">
        <x:v>0.03</x:v>
      </x:c>
      <x:c r="K292" s="36" t="n">
        <x:v>921.4</x:v>
      </x:c>
      <x:c r="L292" s="36" t="n">
        <x:v>921.4</x:v>
      </x:c>
    </x:row>
    <x:row r="293">
      <x:c r="A293" s="34" t="n">
        <x:v>292</x:v>
      </x:c>
      <x:c r="B293" s="34" t="n">
        <x:v>165</x:v>
      </x:c>
      <x:c r="C293" s="34" t="n">
        <x:v>11</x:v>
      </x:c>
      <x:c r="D293" t="str">
        <x:v>SSD NVMe 500GB</x:v>
      </x:c>
      <x:c r="E293" t="str">
        <x:v>Armazenamento</x:v>
      </x:c>
      <x:c r="F293" s="34" t="n">
        <x:v>5</x:v>
      </x:c>
      <x:c r="G293" t="str">
        <x:v>FastHardware</x:v>
      </x:c>
      <x:c r="H293" s="34" t="n">
        <x:v>1</x:v>
      </x:c>
      <x:c r="I293" s="36" t="n">
        <x:v>329.9</x:v>
      </x:c>
      <x:c r="J293" s="38" t="n">
        <x:v>0.08</x:v>
      </x:c>
      <x:c r="K293" s="36" t="n">
        <x:v>303.51</x:v>
      </x:c>
      <x:c r="L293" s="36" t="n">
        <x:v>303.51</x:v>
      </x:c>
    </x:row>
    <x:row r="294">
      <x:c r="A294" s="34" t="n">
        <x:v>293</x:v>
      </x:c>
      <x:c r="B294" s="34" t="n">
        <x:v>166</x:v>
      </x:c>
      <x:c r="C294" s="34" t="n">
        <x:v>18</x:v>
      </x:c>
      <x:c r="D294" t="str">
        <x:v>Cooler para Processador</x:v>
      </x:c>
      <x:c r="E294" t="str">
        <x:v>Componentes</x:v>
      </x:c>
      <x:c r="F294" s="34" t="n">
        <x:v>2</x:v>
      </x:c>
      <x:c r="G294" t="str">
        <x:v>Mega Componentes</x:v>
      </x:c>
      <x:c r="H294" s="34" t="n">
        <x:v>2</x:v>
      </x:c>
      <x:c r="I294" s="36" t="n">
        <x:v>99.9</x:v>
      </x:c>
      <x:c r="J294" s="38" t="n">
        <x:v>0.05</x:v>
      </x:c>
      <x:c r="K294" s="36" t="n">
        <x:v>94.91</x:v>
      </x:c>
      <x:c r="L294" s="36" t="n">
        <x:v>189.82</x:v>
      </x:c>
    </x:row>
    <x:row r="295">
      <x:c r="A295" s="34" t="n">
        <x:v>294</x:v>
      </x:c>
      <x:c r="B295" s="34" t="n">
        <x:v>166</x:v>
      </x:c>
      <x:c r="C295" s="34" t="n">
        <x:v>6</x:v>
      </x:c>
      <x:c r="D295" t="str">
        <x:v>Cabo HDMI 2m</x:v>
      </x:c>
      <x:c r="E295" t="str">
        <x:v>Acessórios</x:v>
      </x:c>
      <x:c r="F295" s="34" t="n">
        <x:v>3</x:v>
      </x:c>
      <x:c r="G295" t="str">
        <x:v>Prime Eletrônicos</x:v>
      </x:c>
      <x:c r="H295" s="34" t="n">
        <x:v>1</x:v>
      </x:c>
      <x:c r="I295" s="36" t="n">
        <x:v>29.9</x:v>
      </x:c>
      <x:c r="J295" s="38" t="n">
        <x:v>0</x:v>
      </x:c>
      <x:c r="K295" s="36" t="n">
        <x:v>29.9</x:v>
      </x:c>
      <x:c r="L295" s="36" t="n">
        <x:v>29.9</x:v>
      </x:c>
    </x:row>
    <x:row r="296">
      <x:c r="A296" s="34" t="n">
        <x:v>295</x:v>
      </x:c>
      <x:c r="B296" s="34" t="n">
        <x:v>167</x:v>
      </x:c>
      <x:c r="C296" s="34" t="n">
        <x:v>9</x:v>
      </x:c>
      <x:c r="D296" t="str">
        <x:v>SSD 240GB SATA</x:v>
      </x:c>
      <x:c r="E296" t="str">
        <x:v>Armazenamento</x:v>
      </x:c>
      <x:c r="F296" s="34" t="n">
        <x:v>2</x:v>
      </x:c>
      <x:c r="G296" t="str">
        <x:v>Mega Componentes</x:v>
      </x:c>
      <x:c r="H296" s="34" t="n">
        <x:v>2</x:v>
      </x:c>
      <x:c r="I296" s="36" t="n">
        <x:v>169.9</x:v>
      </x:c>
      <x:c r="J296" s="38" t="n">
        <x:v>0</x:v>
      </x:c>
      <x:c r="K296" s="36" t="n">
        <x:v>169.9</x:v>
      </x:c>
      <x:c r="L296" s="36" t="n">
        <x:v>339.8</x:v>
      </x:c>
    </x:row>
    <x:row r="297">
      <x:c r="A297" s="34" t="n">
        <x:v>296</x:v>
      </x:c>
      <x:c r="B297" s="34" t="n">
        <x:v>167</x:v>
      </x:c>
      <x:c r="C297" s="34" t="n">
        <x:v>6</x:v>
      </x:c>
      <x:c r="D297" t="str">
        <x:v>Cabo HDMI 2m</x:v>
      </x:c>
      <x:c r="E297" t="str">
        <x:v>Acessórios</x:v>
      </x:c>
      <x:c r="F297" s="34" t="n">
        <x:v>3</x:v>
      </x:c>
      <x:c r="G297" t="str">
        <x:v>Prime Eletrônicos</x:v>
      </x:c>
      <x:c r="H297" s="34" t="n">
        <x:v>1</x:v>
      </x:c>
      <x:c r="I297" s="36" t="n">
        <x:v>29.9</x:v>
      </x:c>
      <x:c r="J297" s="38" t="n">
        <x:v>0.1</x:v>
      </x:c>
      <x:c r="K297" s="36" t="n">
        <x:v>26.91</x:v>
      </x:c>
      <x:c r="L297" s="36" t="n">
        <x:v>26.91</x:v>
      </x:c>
    </x:row>
    <x:row r="298">
      <x:c r="A298" s="34" t="n">
        <x:v>297</x:v>
      </x:c>
      <x:c r="B298" s="34" t="n">
        <x:v>167</x:v>
      </x:c>
      <x:c r="C298" s="34" t="n">
        <x:v>10</x:v>
      </x:c>
      <x:c r="D298" t="str">
        <x:v>SSD 480GB SATA</x:v>
      </x:c>
      <x:c r="E298" t="str">
        <x:v>Armazenamento</x:v>
      </x:c>
      <x:c r="F298" s="34" t="n">
        <x:v>2</x:v>
      </x:c>
      <x:c r="G298" t="str">
        <x:v>Mega Componentes</x:v>
      </x:c>
      <x:c r="H298" s="34" t="n">
        <x:v>1</x:v>
      </x:c>
      <x:c r="I298" s="36" t="n">
        <x:v>259.9</x:v>
      </x:c>
      <x:c r="J298" s="38" t="n">
        <x:v>0</x:v>
      </x:c>
      <x:c r="K298" s="36" t="n">
        <x:v>259.9</x:v>
      </x:c>
      <x:c r="L298" s="36" t="n">
        <x:v>259.9</x:v>
      </x:c>
    </x:row>
    <x:row r="299">
      <x:c r="A299" s="34" t="n">
        <x:v>298</x:v>
      </x:c>
      <x:c r="B299" s="34" t="n">
        <x:v>168</x:v>
      </x:c>
      <x:c r="C299" s="34" t="n">
        <x:v>28</x:v>
      </x:c>
      <x:c r="D299" t="str">
        <x:v>Repetidor Wi-Fi</x:v>
      </x:c>
      <x:c r="E299" t="str">
        <x:v>Rede</x:v>
      </x:c>
      <x:c r="F299" s="34" t="n">
        <x:v>6</x:v>
      </x:c>
      <x:c r="G299" t="str">
        <x:v>Connect Rede</x:v>
      </x:c>
      <x:c r="H299" s="34" t="n">
        <x:v>1</x:v>
      </x:c>
      <x:c r="I299" s="36" t="n">
        <x:v>139.9</x:v>
      </x:c>
      <x:c r="J299" s="38" t="n">
        <x:v>0.05</x:v>
      </x:c>
      <x:c r="K299" s="36" t="n">
        <x:v>132.91</x:v>
      </x:c>
      <x:c r="L299" s="36" t="n">
        <x:v>132.91</x:v>
      </x:c>
    </x:row>
    <x:row r="300">
      <x:c r="A300" s="34" t="n">
        <x:v>299</x:v>
      </x:c>
      <x:c r="B300" s="34" t="n">
        <x:v>169</x:v>
      </x:c>
      <x:c r="C300" s="34" t="n">
        <x:v>2</x:v>
      </x:c>
      <x:c r="D300" t="str">
        <x:v>Teclado Membrana ABNT2</x:v>
      </x:c>
      <x:c r="E300" t="str">
        <x:v>Periféricos</x:v>
      </x:c>
      <x:c r="F300" s="34" t="n">
        <x:v>1</x:v>
      </x:c>
      <x:c r="G300" t="str">
        <x:v>TechDistribuidora Brasil</x:v>
      </x:c>
      <x:c r="H300" s="34" t="n">
        <x:v>1</x:v>
      </x:c>
      <x:c r="I300" s="36" t="n">
        <x:v>89.9</x:v>
      </x:c>
      <x:c r="J300" s="38" t="n">
        <x:v>0</x:v>
      </x:c>
      <x:c r="K300" s="36" t="n">
        <x:v>89.9</x:v>
      </x:c>
      <x:c r="L300" s="36" t="n">
        <x:v>89.9</x:v>
      </x:c>
    </x:row>
    <x:row r="301">
      <x:c r="A301" s="34" t="n">
        <x:v>300</x:v>
      </x:c>
      <x:c r="B301" s="34" t="n">
        <x:v>170</x:v>
      </x:c>
      <x:c r="C301" s="34" t="n">
        <x:v>10</x:v>
      </x:c>
      <x:c r="D301" t="str">
        <x:v>SSD 480GB SATA</x:v>
      </x:c>
      <x:c r="E301" t="str">
        <x:v>Armazenamento</x:v>
      </x:c>
      <x:c r="F301" s="34" t="n">
        <x:v>2</x:v>
      </x:c>
      <x:c r="G301" t="str">
        <x:v>Mega Componentes</x:v>
      </x:c>
      <x:c r="H301" s="34" t="n">
        <x:v>1</x:v>
      </x:c>
      <x:c r="I301" s="36" t="n">
        <x:v>259.9</x:v>
      </x:c>
      <x:c r="J301" s="38" t="n">
        <x:v>0</x:v>
      </x:c>
      <x:c r="K301" s="36" t="n">
        <x:v>259.9</x:v>
      </x:c>
      <x:c r="L301" s="36" t="n">
        <x:v>259.9</x:v>
      </x:c>
    </x:row>
    <x:row r="302">
      <x:c r="A302" s="34" t="n">
        <x:v>301</x:v>
      </x:c>
      <x:c r="B302" s="34" t="n">
        <x:v>171</x:v>
      </x:c>
      <x:c r="C302" s="34" t="n">
        <x:v>5</x:v>
      </x:c>
      <x:c r="D302" t="str">
        <x:v>Mousepad Grande</x:v>
      </x:c>
      <x:c r="E302" t="str">
        <x:v>Acessórios</x:v>
      </x:c>
      <x:c r="F302" s="34" t="n">
        <x:v>3</x:v>
      </x:c>
      <x:c r="G302" t="str">
        <x:v>Prime Eletrônicos</x:v>
      </x:c>
      <x:c r="H302" s="34" t="n">
        <x:v>2</x:v>
      </x:c>
      <x:c r="I302" s="36" t="n">
        <x:v>39.9</x:v>
      </x:c>
      <x:c r="J302" s="38" t="n">
        <x:v>0</x:v>
      </x:c>
      <x:c r="K302" s="36" t="n">
        <x:v>39.9</x:v>
      </x:c>
      <x:c r="L302" s="36" t="n">
        <x:v>79.8</x:v>
      </x:c>
    </x:row>
    <x:row r="303">
      <x:c r="A303" s="34" t="n">
        <x:v>302</x:v>
      </x:c>
      <x:c r="B303" s="34" t="n">
        <x:v>172</x:v>
      </x:c>
      <x:c r="C303" s="34" t="n">
        <x:v>7</x:v>
      </x:c>
      <x:c r="D303" t="str">
        <x:v>Adaptador USB-C HDMI</x:v>
      </x:c>
      <x:c r="E303" t="str">
        <x:v>Acessórios</x:v>
      </x:c>
      <x:c r="F303" s="34" t="n">
        <x:v>3</x:v>
      </x:c>
      <x:c r="G303" t="str">
        <x:v>Prime Eletrônicos</x:v>
      </x:c>
      <x:c r="H303" s="34" t="n">
        <x:v>2</x:v>
      </x:c>
      <x:c r="I303" s="36" t="n">
        <x:v>119.9</x:v>
      </x:c>
      <x:c r="J303" s="38" t="n">
        <x:v>0</x:v>
      </x:c>
      <x:c r="K303" s="36" t="n">
        <x:v>119.9</x:v>
      </x:c>
      <x:c r="L303" s="36" t="n">
        <x:v>239.8</x:v>
      </x:c>
    </x:row>
    <x:row r="304">
      <x:c r="A304" s="34" t="n">
        <x:v>303</x:v>
      </x:c>
      <x:c r="B304" s="34" t="n">
        <x:v>173</x:v>
      </x:c>
      <x:c r="C304" s="34" t="n">
        <x:v>6</x:v>
      </x:c>
      <x:c r="D304" t="str">
        <x:v>Cabo HDMI 2m</x:v>
      </x:c>
      <x:c r="E304" t="str">
        <x:v>Acessórios</x:v>
      </x:c>
      <x:c r="F304" s="34" t="n">
        <x:v>3</x:v>
      </x:c>
      <x:c r="G304" t="str">
        <x:v>Prime Eletrônicos</x:v>
      </x:c>
      <x:c r="H304" s="34" t="n">
        <x:v>3</x:v>
      </x:c>
      <x:c r="I304" s="36" t="n">
        <x:v>29.9</x:v>
      </x:c>
      <x:c r="J304" s="38" t="n">
        <x:v>0</x:v>
      </x:c>
      <x:c r="K304" s="36" t="n">
        <x:v>29.9</x:v>
      </x:c>
      <x:c r="L304" s="36" t="n">
        <x:v>89.7</x:v>
      </x:c>
    </x:row>
    <x:row r="305">
      <x:c r="A305" s="34" t="n">
        <x:v>304</x:v>
      </x:c>
      <x:c r="B305" s="34" t="n">
        <x:v>174</x:v>
      </x:c>
      <x:c r="C305" s="34" t="n">
        <x:v>11</x:v>
      </x:c>
      <x:c r="D305" t="str">
        <x:v>SSD NVMe 500GB</x:v>
      </x:c>
      <x:c r="E305" t="str">
        <x:v>Armazenamento</x:v>
      </x:c>
      <x:c r="F305" s="34" t="n">
        <x:v>5</x:v>
      </x:c>
      <x:c r="G305" t="str">
        <x:v>FastHardware</x:v>
      </x:c>
      <x:c r="H305" s="34" t="n">
        <x:v>1</x:v>
      </x:c>
      <x:c r="I305" s="36" t="n">
        <x:v>329.9</x:v>
      </x:c>
      <x:c r="J305" s="38" t="n">
        <x:v>0.1</x:v>
      </x:c>
      <x:c r="K305" s="36" t="n">
        <x:v>296.91</x:v>
      </x:c>
      <x:c r="L305" s="36" t="n">
        <x:v>296.91</x:v>
      </x:c>
    </x:row>
    <x:row r="306">
      <x:c r="A306" s="34" t="n">
        <x:v>305</x:v>
      </x:c>
      <x:c r="B306" s="34" t="n">
        <x:v>174</x:v>
      </x:c>
      <x:c r="C306" s="34" t="n">
        <x:v>5</x:v>
      </x:c>
      <x:c r="D306" t="str">
        <x:v>Mousepad Grande</x:v>
      </x:c>
      <x:c r="E306" t="str">
        <x:v>Acessórios</x:v>
      </x:c>
      <x:c r="F306" s="34" t="n">
        <x:v>3</x:v>
      </x:c>
      <x:c r="G306" t="str">
        <x:v>Prime Eletrônicos</x:v>
      </x:c>
      <x:c r="H306" s="34" t="n">
        <x:v>1</x:v>
      </x:c>
      <x:c r="I306" s="36" t="n">
        <x:v>39.9</x:v>
      </x:c>
      <x:c r="J306" s="38" t="n">
        <x:v>0.1</x:v>
      </x:c>
      <x:c r="K306" s="36" t="n">
        <x:v>35.91</x:v>
      </x:c>
      <x:c r="L306" s="36" t="n">
        <x:v>35.91</x:v>
      </x:c>
    </x:row>
    <x:row r="307">
      <x:c r="A307" s="34" t="n">
        <x:v>306</x:v>
      </x:c>
      <x:c r="B307" s="34" t="n">
        <x:v>174</x:v>
      </x:c>
      <x:c r="C307" s="34" t="n">
        <x:v>7</x:v>
      </x:c>
      <x:c r="D307" t="str">
        <x:v>Adaptador USB-C HDMI</x:v>
      </x:c>
      <x:c r="E307" t="str">
        <x:v>Acessórios</x:v>
      </x:c>
      <x:c r="F307" s="34" t="n">
        <x:v>3</x:v>
      </x:c>
      <x:c r="G307" t="str">
        <x:v>Prime Eletrônicos</x:v>
      </x:c>
      <x:c r="H307" s="34" t="n">
        <x:v>1</x:v>
      </x:c>
      <x:c r="I307" s="36" t="n">
        <x:v>119.9</x:v>
      </x:c>
      <x:c r="J307" s="38" t="n">
        <x:v>0</x:v>
      </x:c>
      <x:c r="K307" s="36" t="n">
        <x:v>119.9</x:v>
      </x:c>
      <x:c r="L307" s="36" t="n">
        <x:v>119.9</x:v>
      </x:c>
    </x:row>
    <x:row r="308">
      <x:c r="A308" s="34" t="n">
        <x:v>307</x:v>
      </x:c>
      <x:c r="B308" s="34" t="n">
        <x:v>175</x:v>
      </x:c>
      <x:c r="C308" s="34" t="n">
        <x:v>29</x:v>
      </x:c>
      <x:c r="D308" t="str">
        <x:v>Impressora Multifuncional</x:v>
      </x:c>
      <x:c r="E308" t="str">
        <x:v>Office</x:v>
      </x:c>
      <x:c r="F308" s="34" t="n">
        <x:v>7</x:v>
      </x:c>
      <x:c r="G308" t="str">
        <x:v>OfficeTech Supply</x:v>
      </x:c>
      <x:c r="H308" s="34" t="n">
        <x:v>2</x:v>
      </x:c>
      <x:c r="I308" s="36" t="n">
        <x:v>699.9</x:v>
      </x:c>
      <x:c r="J308" s="38" t="n">
        <x:v>0.1</x:v>
      </x:c>
      <x:c r="K308" s="36" t="n">
        <x:v>629.91</x:v>
      </x:c>
      <x:c r="L308" s="36" t="n">
        <x:v>1259.82</x:v>
      </x:c>
    </x:row>
    <x:row r="309">
      <x:c r="A309" s="34" t="n">
        <x:v>308</x:v>
      </x:c>
      <x:c r="B309" s="34" t="n">
        <x:v>176</x:v>
      </x:c>
      <x:c r="C309" s="34" t="n">
        <x:v>10</x:v>
      </x:c>
      <x:c r="D309" t="str">
        <x:v>SSD 480GB SATA</x:v>
      </x:c>
      <x:c r="E309" t="str">
        <x:v>Armazenamento</x:v>
      </x:c>
      <x:c r="F309" s="34" t="n">
        <x:v>2</x:v>
      </x:c>
      <x:c r="G309" t="str">
        <x:v>Mega Componentes</x:v>
      </x:c>
      <x:c r="H309" s="34" t="n">
        <x:v>1</x:v>
      </x:c>
      <x:c r="I309" s="36" t="n">
        <x:v>259.9</x:v>
      </x:c>
      <x:c r="J309" s="38" t="n">
        <x:v>0.05</x:v>
      </x:c>
      <x:c r="K309" s="36" t="n">
        <x:v>246.9</x:v>
      </x:c>
      <x:c r="L309" s="36" t="n">
        <x:v>246.9</x:v>
      </x:c>
    </x:row>
    <x:row r="310">
      <x:c r="A310" s="34" t="n">
        <x:v>309</x:v>
      </x:c>
      <x:c r="B310" s="34" t="n">
        <x:v>176</x:v>
      </x:c>
      <x:c r="C310" s="34" t="n">
        <x:v>26</x:v>
      </x:c>
      <x:c r="D310" t="str">
        <x:v>Switch 8 Portas Gigabit</x:v>
      </x:c>
      <x:c r="E310" t="str">
        <x:v>Rede</x:v>
      </x:c>
      <x:c r="F310" s="34" t="n">
        <x:v>6</x:v>
      </x:c>
      <x:c r="G310" t="str">
        <x:v>Connect Rede</x:v>
      </x:c>
      <x:c r="H310" s="34" t="n">
        <x:v>1</x:v>
      </x:c>
      <x:c r="I310" s="36" t="n">
        <x:v>189.9</x:v>
      </x:c>
      <x:c r="J310" s="38" t="n">
        <x:v>0</x:v>
      </x:c>
      <x:c r="K310" s="36" t="n">
        <x:v>189.9</x:v>
      </x:c>
      <x:c r="L310" s="36" t="n">
        <x:v>189.9</x:v>
      </x:c>
    </x:row>
    <x:row r="311">
      <x:c r="A311" s="34" t="n">
        <x:v>310</x:v>
      </x:c>
      <x:c r="B311" s="34" t="n">
        <x:v>177</x:v>
      </x:c>
      <x:c r="C311" s="34" t="n">
        <x:v>28</x:v>
      </x:c>
      <x:c r="D311" t="str">
        <x:v>Repetidor Wi-Fi</x:v>
      </x:c>
      <x:c r="E311" t="str">
        <x:v>Rede</x:v>
      </x:c>
      <x:c r="F311" s="34" t="n">
        <x:v>6</x:v>
      </x:c>
      <x:c r="G311" t="str">
        <x:v>Connect Rede</x:v>
      </x:c>
      <x:c r="H311" s="34" t="n">
        <x:v>1</x:v>
      </x:c>
      <x:c r="I311" s="36" t="n">
        <x:v>139.9</x:v>
      </x:c>
      <x:c r="J311" s="38" t="n">
        <x:v>0</x:v>
      </x:c>
      <x:c r="K311" s="36" t="n">
        <x:v>139.9</x:v>
      </x:c>
      <x:c r="L311" s="36" t="n">
        <x:v>139.9</x:v>
      </x:c>
    </x:row>
    <x:row r="312">
      <x:c r="A312" s="34" t="n">
        <x:v>311</x:v>
      </x:c>
      <x:c r="B312" s="34" t="n">
        <x:v>177</x:v>
      </x:c>
      <x:c r="C312" s="34" t="n">
        <x:v>27</x:v>
      </x:c>
      <x:c r="D312" t="str">
        <x:v>Placa de Rede PCIe</x:v>
      </x:c>
      <x:c r="E312" t="str">
        <x:v>Rede</x:v>
      </x:c>
      <x:c r="F312" s="34" t="n">
        <x:v>6</x:v>
      </x:c>
      <x:c r="G312" t="str">
        <x:v>Connect Rede</x:v>
      </x:c>
      <x:c r="H312" s="34" t="n">
        <x:v>1</x:v>
      </x:c>
      <x:c r="I312" s="36" t="n">
        <x:v>79.9</x:v>
      </x:c>
      <x:c r="J312" s="38" t="n">
        <x:v>0</x:v>
      </x:c>
      <x:c r="K312" s="36" t="n">
        <x:v>79.9</x:v>
      </x:c>
      <x:c r="L312" s="36" t="n">
        <x:v>79.9</x:v>
      </x:c>
    </x:row>
    <x:row r="313">
      <x:c r="A313" s="34" t="n">
        <x:v>312</x:v>
      </x:c>
      <x:c r="B313" s="34" t="n">
        <x:v>178</x:v>
      </x:c>
      <x:c r="C313" s="34" t="n">
        <x:v>15</x:v>
      </x:c>
      <x:c r="D313" t="str">
        <x:v>Fonte 500W 80 Plus</x:v>
      </x:c>
      <x:c r="E313" t="str">
        <x:v>Componentes</x:v>
      </x:c>
      <x:c r="F313" s="34" t="n">
        <x:v>5</x:v>
      </x:c>
      <x:c r="G313" t="str">
        <x:v>FastHardware</x:v>
      </x:c>
      <x:c r="H313" s="34" t="n">
        <x:v>1</x:v>
      </x:c>
      <x:c r="I313" s="36" t="n">
        <x:v>289.9</x:v>
      </x:c>
      <x:c r="J313" s="38" t="n">
        <x:v>0</x:v>
      </x:c>
      <x:c r="K313" s="36" t="n">
        <x:v>289.9</x:v>
      </x:c>
      <x:c r="L313" s="36" t="n">
        <x:v>289.9</x:v>
      </x:c>
    </x:row>
    <x:row r="314">
      <x:c r="A314" s="34" t="n">
        <x:v>313</x:v>
      </x:c>
      <x:c r="B314" s="34" t="n">
        <x:v>178</x:v>
      </x:c>
      <x:c r="C314" s="34" t="n">
        <x:v>7</x:v>
      </x:c>
      <x:c r="D314" t="str">
        <x:v>Adaptador USB-C HDMI</x:v>
      </x:c>
      <x:c r="E314" t="str">
        <x:v>Acessórios</x:v>
      </x:c>
      <x:c r="F314" s="34" t="n">
        <x:v>3</x:v>
      </x:c>
      <x:c r="G314" t="str">
        <x:v>Prime Eletrônicos</x:v>
      </x:c>
      <x:c r="H314" s="34" t="n">
        <x:v>3</x:v>
      </x:c>
      <x:c r="I314" s="36" t="n">
        <x:v>119.9</x:v>
      </x:c>
      <x:c r="J314" s="38" t="n">
        <x:v>0</x:v>
      </x:c>
      <x:c r="K314" s="36" t="n">
        <x:v>119.9</x:v>
      </x:c>
      <x:c r="L314" s="36" t="n">
        <x:v>359.7</x:v>
      </x:c>
    </x:row>
    <x:row r="315">
      <x:c r="A315" s="34" t="n">
        <x:v>314</x:v>
      </x:c>
      <x:c r="B315" s="34" t="n">
        <x:v>179</x:v>
      </x:c>
      <x:c r="C315" s="34" t="n">
        <x:v>2</x:v>
      </x:c>
      <x:c r="D315" t="str">
        <x:v>Teclado Membrana ABNT2</x:v>
      </x:c>
      <x:c r="E315" t="str">
        <x:v>Periféricos</x:v>
      </x:c>
      <x:c r="F315" s="34" t="n">
        <x:v>1</x:v>
      </x:c>
      <x:c r="G315" t="str">
        <x:v>TechDistribuidora Brasil</x:v>
      </x:c>
      <x:c r="H315" s="34" t="n">
        <x:v>1</x:v>
      </x:c>
      <x:c r="I315" s="36" t="n">
        <x:v>89.9</x:v>
      </x:c>
      <x:c r="J315" s="38" t="n">
        <x:v>0</x:v>
      </x:c>
      <x:c r="K315" s="36" t="n">
        <x:v>89.9</x:v>
      </x:c>
      <x:c r="L315" s="36" t="n">
        <x:v>89.9</x:v>
      </x:c>
    </x:row>
    <x:row r="316">
      <x:c r="A316" s="34" t="n">
        <x:v>315</x:v>
      </x:c>
      <x:c r="B316" s="34" t="n">
        <x:v>179</x:v>
      </x:c>
      <x:c r="C316" s="34" t="n">
        <x:v>26</x:v>
      </x:c>
      <x:c r="D316" t="str">
        <x:v>Switch 8 Portas Gigabit</x:v>
      </x:c>
      <x:c r="E316" t="str">
        <x:v>Rede</x:v>
      </x:c>
      <x:c r="F316" s="34" t="n">
        <x:v>6</x:v>
      </x:c>
      <x:c r="G316" t="str">
        <x:v>Connect Rede</x:v>
      </x:c>
      <x:c r="H316" s="34" t="n">
        <x:v>1</x:v>
      </x:c>
      <x:c r="I316" s="36" t="n">
        <x:v>189.9</x:v>
      </x:c>
      <x:c r="J316" s="38" t="n">
        <x:v>0.08</x:v>
      </x:c>
      <x:c r="K316" s="36" t="n">
        <x:v>174.71</x:v>
      </x:c>
      <x:c r="L316" s="36" t="n">
        <x:v>174.71</x:v>
      </x:c>
    </x:row>
    <x:row r="317">
      <x:c r="A317" s="34" t="n">
        <x:v>316</x:v>
      </x:c>
      <x:c r="B317" s="34" t="n">
        <x:v>180</x:v>
      </x:c>
      <x:c r="C317" s="34" t="n">
        <x:v>6</x:v>
      </x:c>
      <x:c r="D317" t="str">
        <x:v>Cabo HDMI 2m</x:v>
      </x:c>
      <x:c r="E317" t="str">
        <x:v>Acessórios</x:v>
      </x:c>
      <x:c r="F317" s="34" t="n">
        <x:v>3</x:v>
      </x:c>
      <x:c r="G317" t="str">
        <x:v>Prime Eletrônicos</x:v>
      </x:c>
      <x:c r="H317" s="34" t="n">
        <x:v>2</x:v>
      </x:c>
      <x:c r="I317" s="36" t="n">
        <x:v>29.9</x:v>
      </x:c>
      <x:c r="J317" s="38" t="n">
        <x:v>0</x:v>
      </x:c>
      <x:c r="K317" s="36" t="n">
        <x:v>29.9</x:v>
      </x:c>
      <x:c r="L317" s="36" t="n">
        <x:v>59.8</x:v>
      </x:c>
    </x:row>
    <x:row r="318">
      <x:c r="A318" s="34" t="n">
        <x:v>317</x:v>
      </x:c>
      <x:c r="B318" s="34" t="n">
        <x:v>180</x:v>
      </x:c>
      <x:c r="C318" s="34" t="n">
        <x:v>1</x:v>
      </x:c>
      <x:c r="D318" t="str">
        <x:v>Mouse Óptico USB</x:v>
      </x:c>
      <x:c r="E318" t="str">
        <x:v>Periféricos</x:v>
      </x:c>
      <x:c r="F318" s="34" t="n">
        <x:v>1</x:v>
      </x:c>
      <x:c r="G318" t="str">
        <x:v>TechDistribuidora Brasil</x:v>
      </x:c>
      <x:c r="H318" s="34" t="n">
        <x:v>2</x:v>
      </x:c>
      <x:c r="I318" s="36" t="n">
        <x:v>49.9</x:v>
      </x:c>
      <x:c r="J318" s="38" t="n">
        <x:v>0</x:v>
      </x:c>
      <x:c r="K318" s="36" t="n">
        <x:v>49.9</x:v>
      </x:c>
      <x:c r="L318" s="36" t="n">
        <x:v>99.8</x:v>
      </x:c>
    </x:row>
    <x:row r="319">
      <x:c r="A319" s="34" t="n">
        <x:v>318</x:v>
      </x:c>
      <x:c r="B319" s="34" t="n">
        <x:v>181</x:v>
      </x:c>
      <x:c r="C319" s="34" t="n">
        <x:v>27</x:v>
      </x:c>
      <x:c r="D319" t="str">
        <x:v>Placa de Rede PCIe</x:v>
      </x:c>
      <x:c r="E319" t="str">
        <x:v>Rede</x:v>
      </x:c>
      <x:c r="F319" s="34" t="n">
        <x:v>6</x:v>
      </x:c>
      <x:c r="G319" t="str">
        <x:v>Connect Rede</x:v>
      </x:c>
      <x:c r="H319" s="34" t="n">
        <x:v>1</x:v>
      </x:c>
      <x:c r="I319" s="36" t="n">
        <x:v>79.9</x:v>
      </x:c>
      <x:c r="J319" s="38" t="n">
        <x:v>0</x:v>
      </x:c>
      <x:c r="K319" s="36" t="n">
        <x:v>79.9</x:v>
      </x:c>
      <x:c r="L319" s="36" t="n">
        <x:v>79.9</x:v>
      </x:c>
    </x:row>
    <x:row r="320">
      <x:c r="A320" s="34" t="n">
        <x:v>319</x:v>
      </x:c>
      <x:c r="B320" s="34" t="n">
        <x:v>182</x:v>
      </x:c>
      <x:c r="C320" s="34" t="n">
        <x:v>28</x:v>
      </x:c>
      <x:c r="D320" t="str">
        <x:v>Repetidor Wi-Fi</x:v>
      </x:c>
      <x:c r="E320" t="str">
        <x:v>Rede</x:v>
      </x:c>
      <x:c r="F320" s="34" t="n">
        <x:v>6</x:v>
      </x:c>
      <x:c r="G320" t="str">
        <x:v>Connect Rede</x:v>
      </x:c>
      <x:c r="H320" s="34" t="n">
        <x:v>2</x:v>
      </x:c>
      <x:c r="I320" s="36" t="n">
        <x:v>139.9</x:v>
      </x:c>
      <x:c r="J320" s="38" t="n">
        <x:v>0</x:v>
      </x:c>
      <x:c r="K320" s="36" t="n">
        <x:v>139.9</x:v>
      </x:c>
      <x:c r="L320" s="36" t="n">
        <x:v>279.8</x:v>
      </x:c>
    </x:row>
    <x:row r="321">
      <x:c r="A321" s="34" t="n">
        <x:v>320</x:v>
      </x:c>
      <x:c r="B321" s="34" t="n">
        <x:v>183</x:v>
      </x:c>
      <x:c r="C321" s="34" t="n">
        <x:v>11</x:v>
      </x:c>
      <x:c r="D321" t="str">
        <x:v>SSD NVMe 500GB</x:v>
      </x:c>
      <x:c r="E321" t="str">
        <x:v>Armazenamento</x:v>
      </x:c>
      <x:c r="F321" s="34" t="n">
        <x:v>5</x:v>
      </x:c>
      <x:c r="G321" t="str">
        <x:v>FastHardware</x:v>
      </x:c>
      <x:c r="H321" s="34" t="n">
        <x:v>1</x:v>
      </x:c>
      <x:c r="I321" s="36" t="n">
        <x:v>329.9</x:v>
      </x:c>
      <x:c r="J321" s="38" t="n">
        <x:v>0</x:v>
      </x:c>
      <x:c r="K321" s="36" t="n">
        <x:v>329.9</x:v>
      </x:c>
      <x:c r="L321" s="36" t="n">
        <x:v>329.9</x:v>
      </x:c>
    </x:row>
    <x:row r="322">
      <x:c r="A322" s="34" t="n">
        <x:v>321</x:v>
      </x:c>
      <x:c r="B322" s="34" t="n">
        <x:v>184</x:v>
      </x:c>
      <x:c r="C322" s="34" t="n">
        <x:v>28</x:v>
      </x:c>
      <x:c r="D322" t="str">
        <x:v>Repetidor Wi-Fi</x:v>
      </x:c>
      <x:c r="E322" t="str">
        <x:v>Rede</x:v>
      </x:c>
      <x:c r="F322" s="34" t="n">
        <x:v>6</x:v>
      </x:c>
      <x:c r="G322" t="str">
        <x:v>Connect Rede</x:v>
      </x:c>
      <x:c r="H322" s="34" t="n">
        <x:v>2</x:v>
      </x:c>
      <x:c r="I322" s="36" t="n">
        <x:v>139.9</x:v>
      </x:c>
      <x:c r="J322" s="38" t="n">
        <x:v>0</x:v>
      </x:c>
      <x:c r="K322" s="36" t="n">
        <x:v>139.9</x:v>
      </x:c>
      <x:c r="L322" s="36" t="n">
        <x:v>279.8</x:v>
      </x:c>
    </x:row>
    <x:row r="323">
      <x:c r="A323" s="34" t="n">
        <x:v>322</x:v>
      </x:c>
      <x:c r="B323" s="34" t="n">
        <x:v>184</x:v>
      </x:c>
      <x:c r="C323" s="34" t="n">
        <x:v>15</x:v>
      </x:c>
      <x:c r="D323" t="str">
        <x:v>Fonte 500W 80 Plus</x:v>
      </x:c>
      <x:c r="E323" t="str">
        <x:v>Componentes</x:v>
      </x:c>
      <x:c r="F323" s="34" t="n">
        <x:v>5</x:v>
      </x:c>
      <x:c r="G323" t="str">
        <x:v>FastHardware</x:v>
      </x:c>
      <x:c r="H323" s="34" t="n">
        <x:v>2</x:v>
      </x:c>
      <x:c r="I323" s="36" t="n">
        <x:v>289.9</x:v>
      </x:c>
      <x:c r="J323" s="38" t="n">
        <x:v>0.08</x:v>
      </x:c>
      <x:c r="K323" s="36" t="n">
        <x:v>266.71</x:v>
      </x:c>
      <x:c r="L323" s="36" t="n">
        <x:v>533.42</x:v>
      </x:c>
    </x:row>
    <x:row r="324">
      <x:c r="A324" s="34" t="n">
        <x:v>323</x:v>
      </x:c>
      <x:c r="B324" s="34" t="n">
        <x:v>184</x:v>
      </x:c>
      <x:c r="C324" s="34" t="n">
        <x:v>8</x:v>
      </x:c>
      <x:c r="D324" t="str">
        <x:v>Suporte Articulado para Monitor</x:v>
      </x:c>
      <x:c r="E324" t="str">
        <x:v>Acessórios</x:v>
      </x:c>
      <x:c r="F324" s="34" t="n">
        <x:v>7</x:v>
      </x:c>
      <x:c r="G324" t="str">
        <x:v>OfficeTech Supply</x:v>
      </x:c>
      <x:c r="H324" s="34" t="n">
        <x:v>2</x:v>
      </x:c>
      <x:c r="I324" s="36" t="n">
        <x:v>149.9</x:v>
      </x:c>
      <x:c r="J324" s="38" t="n">
        <x:v>0</x:v>
      </x:c>
      <x:c r="K324" s="36" t="n">
        <x:v>149.9</x:v>
      </x:c>
      <x:c r="L324" s="36" t="n">
        <x:v>299.8</x:v>
      </x:c>
    </x:row>
    <x:row r="325">
      <x:c r="A325" s="34" t="n">
        <x:v>324</x:v>
      </x:c>
      <x:c r="B325" s="34" t="n">
        <x:v>185</x:v>
      </x:c>
      <x:c r="C325" s="34" t="n">
        <x:v>7</x:v>
      </x:c>
      <x:c r="D325" t="str">
        <x:v>Adaptador USB-C HDMI</x:v>
      </x:c>
      <x:c r="E325" t="str">
        <x:v>Acessórios</x:v>
      </x:c>
      <x:c r="F325" s="34" t="n">
        <x:v>3</x:v>
      </x:c>
      <x:c r="G325" t="str">
        <x:v>Prime Eletrônicos</x:v>
      </x:c>
      <x:c r="H325" s="34" t="n">
        <x:v>1</x:v>
      </x:c>
      <x:c r="I325" s="36" t="n">
        <x:v>119.9</x:v>
      </x:c>
      <x:c r="J325" s="38" t="n">
        <x:v>0.12</x:v>
      </x:c>
      <x:c r="K325" s="36" t="n">
        <x:v>105.51</x:v>
      </x:c>
      <x:c r="L325" s="36" t="n">
        <x:v>105.51</x:v>
      </x:c>
    </x:row>
    <x:row r="326">
      <x:c r="A326" s="34" t="n">
        <x:v>325</x:v>
      </x:c>
      <x:c r="B326" s="34" t="n">
        <x:v>185</x:v>
      </x:c>
      <x:c r="C326" s="34" t="n">
        <x:v>2</x:v>
      </x:c>
      <x:c r="D326" t="str">
        <x:v>Teclado Membrana ABNT2</x:v>
      </x:c>
      <x:c r="E326" t="str">
        <x:v>Periféricos</x:v>
      </x:c>
      <x:c r="F326" s="34" t="n">
        <x:v>1</x:v>
      </x:c>
      <x:c r="G326" t="str">
        <x:v>TechDistribuidora Brasil</x:v>
      </x:c>
      <x:c r="H326" s="34" t="n">
        <x:v>1</x:v>
      </x:c>
      <x:c r="I326" s="36" t="n">
        <x:v>89.9</x:v>
      </x:c>
      <x:c r="J326" s="38" t="n">
        <x:v>0.08</x:v>
      </x:c>
      <x:c r="K326" s="36" t="n">
        <x:v>82.71</x:v>
      </x:c>
      <x:c r="L326" s="36" t="n">
        <x:v>82.71</x:v>
      </x:c>
    </x:row>
    <x:row r="327">
      <x:c r="A327" s="34" t="n">
        <x:v>326</x:v>
      </x:c>
      <x:c r="B327" s="34" t="n">
        <x:v>185</x:v>
      </x:c>
      <x:c r="C327" s="34" t="n">
        <x:v>9</x:v>
      </x:c>
      <x:c r="D327" t="str">
        <x:v>SSD 240GB SATA</x:v>
      </x:c>
      <x:c r="E327" t="str">
        <x:v>Armazenamento</x:v>
      </x:c>
      <x:c r="F327" s="34" t="n">
        <x:v>2</x:v>
      </x:c>
      <x:c r="G327" t="str">
        <x:v>Mega Componentes</x:v>
      </x:c>
      <x:c r="H327" s="34" t="n">
        <x:v>1</x:v>
      </x:c>
      <x:c r="I327" s="36" t="n">
        <x:v>169.9</x:v>
      </x:c>
      <x:c r="J327" s="38" t="n">
        <x:v>0.05</x:v>
      </x:c>
      <x:c r="K327" s="36" t="n">
        <x:v>161.41</x:v>
      </x:c>
      <x:c r="L327" s="36" t="n">
        <x:v>161.41</x:v>
      </x:c>
    </x:row>
    <x:row r="328">
      <x:c r="A328" s="34" t="n">
        <x:v>327</x:v>
      </x:c>
      <x:c r="B328" s="34" t="n">
        <x:v>186</x:v>
      </x:c>
      <x:c r="C328" s="34" t="n">
        <x:v>9</x:v>
      </x:c>
      <x:c r="D328" t="str">
        <x:v>SSD 240GB SATA</x:v>
      </x:c>
      <x:c r="E328" t="str">
        <x:v>Armazenamento</x:v>
      </x:c>
      <x:c r="F328" s="34" t="n">
        <x:v>2</x:v>
      </x:c>
      <x:c r="G328" t="str">
        <x:v>Mega Componentes</x:v>
      </x:c>
      <x:c r="H328" s="34" t="n">
        <x:v>1</x:v>
      </x:c>
      <x:c r="I328" s="36" t="n">
        <x:v>169.9</x:v>
      </x:c>
      <x:c r="J328" s="38" t="n">
        <x:v>0</x:v>
      </x:c>
      <x:c r="K328" s="36" t="n">
        <x:v>169.9</x:v>
      </x:c>
      <x:c r="L328" s="36" t="n">
        <x:v>169.9</x:v>
      </x:c>
    </x:row>
    <x:row r="329">
      <x:c r="A329" s="34" t="n">
        <x:v>328</x:v>
      </x:c>
      <x:c r="B329" s="34" t="n">
        <x:v>187</x:v>
      </x:c>
      <x:c r="C329" s="34" t="n">
        <x:v>5</x:v>
      </x:c>
      <x:c r="D329" t="str">
        <x:v>Mousepad Grande</x:v>
      </x:c>
      <x:c r="E329" t="str">
        <x:v>Acessórios</x:v>
      </x:c>
      <x:c r="F329" s="34" t="n">
        <x:v>3</x:v>
      </x:c>
      <x:c r="G329" t="str">
        <x:v>Prime Eletrônicos</x:v>
      </x:c>
      <x:c r="H329" s="34" t="n">
        <x:v>2</x:v>
      </x:c>
      <x:c r="I329" s="36" t="n">
        <x:v>39.9</x:v>
      </x:c>
      <x:c r="J329" s="38" t="n">
        <x:v>0.03</x:v>
      </x:c>
      <x:c r="K329" s="36" t="n">
        <x:v>38.7</x:v>
      </x:c>
      <x:c r="L329" s="36" t="n">
        <x:v>77.4</x:v>
      </x:c>
    </x:row>
    <x:row r="330">
      <x:c r="A330" s="34" t="n">
        <x:v>329</x:v>
      </x:c>
      <x:c r="B330" s="34" t="n">
        <x:v>187</x:v>
      </x:c>
      <x:c r="C330" s="34" t="n">
        <x:v>7</x:v>
      </x:c>
      <x:c r="D330" t="str">
        <x:v>Adaptador USB-C HDMI</x:v>
      </x:c>
      <x:c r="E330" t="str">
        <x:v>Acessórios</x:v>
      </x:c>
      <x:c r="F330" s="34" t="n">
        <x:v>3</x:v>
      </x:c>
      <x:c r="G330" t="str">
        <x:v>Prime Eletrônicos</x:v>
      </x:c>
      <x:c r="H330" s="34" t="n">
        <x:v>3</x:v>
      </x:c>
      <x:c r="I330" s="36" t="n">
        <x:v>119.9</x:v>
      </x:c>
      <x:c r="J330" s="38" t="n">
        <x:v>0.08</x:v>
      </x:c>
      <x:c r="K330" s="36" t="n">
        <x:v>110.31</x:v>
      </x:c>
      <x:c r="L330" s="36" t="n">
        <x:v>330.93</x:v>
      </x:c>
    </x:row>
    <x:row r="331">
      <x:c r="A331" s="34" t="n">
        <x:v>330</x:v>
      </x:c>
      <x:c r="B331" s="34" t="n">
        <x:v>187</x:v>
      </x:c>
      <x:c r="C331" s="34" t="n">
        <x:v>1</x:v>
      </x:c>
      <x:c r="D331" t="str">
        <x:v>Mouse Óptico USB</x:v>
      </x:c>
      <x:c r="E331" t="str">
        <x:v>Periféricos</x:v>
      </x:c>
      <x:c r="F331" s="34" t="n">
        <x:v>1</x:v>
      </x:c>
      <x:c r="G331" t="str">
        <x:v>TechDistribuidora Brasil</x:v>
      </x:c>
      <x:c r="H331" s="34" t="n">
        <x:v>2</x:v>
      </x:c>
      <x:c r="I331" s="36" t="n">
        <x:v>49.9</x:v>
      </x:c>
      <x:c r="J331" s="38" t="n">
        <x:v>0</x:v>
      </x:c>
      <x:c r="K331" s="36" t="n">
        <x:v>49.9</x:v>
      </x:c>
      <x:c r="L331" s="36" t="n">
        <x:v>99.8</x:v>
      </x:c>
    </x:row>
    <x:row r="332">
      <x:c r="A332" s="34" t="n">
        <x:v>331</x:v>
      </x:c>
      <x:c r="B332" s="34" t="n">
        <x:v>187</x:v>
      </x:c>
      <x:c r="C332" s="34" t="n">
        <x:v>17</x:v>
      </x:c>
      <x:c r="D332" t="str">
        <x:v>Processador Ryzen 5</x:v>
      </x:c>
      <x:c r="E332" t="str">
        <x:v>Componentes</x:v>
      </x:c>
      <x:c r="F332" s="34" t="n">
        <x:v>5</x:v>
      </x:c>
      <x:c r="G332" t="str">
        <x:v>FastHardware</x:v>
      </x:c>
      <x:c r="H332" s="34" t="n">
        <x:v>1</x:v>
      </x:c>
      <x:c r="I332" s="36" t="n">
        <x:v>799.9</x:v>
      </x:c>
      <x:c r="J332" s="38" t="n">
        <x:v>0</x:v>
      </x:c>
      <x:c r="K332" s="36" t="n">
        <x:v>799.9</x:v>
      </x:c>
      <x:c r="L332" s="36" t="n">
        <x:v>799.9</x:v>
      </x:c>
    </x:row>
    <x:row r="333">
      <x:c r="A333" s="34" t="n">
        <x:v>332</x:v>
      </x:c>
      <x:c r="B333" s="34" t="n">
        <x:v>188</x:v>
      </x:c>
      <x:c r="C333" s="34" t="n">
        <x:v>27</x:v>
      </x:c>
      <x:c r="D333" t="str">
        <x:v>Placa de Rede PCIe</x:v>
      </x:c>
      <x:c r="E333" t="str">
        <x:v>Rede</x:v>
      </x:c>
      <x:c r="F333" s="34" t="n">
        <x:v>6</x:v>
      </x:c>
      <x:c r="G333" t="str">
        <x:v>Connect Rede</x:v>
      </x:c>
      <x:c r="H333" s="34" t="n">
        <x:v>2</x:v>
      </x:c>
      <x:c r="I333" s="36" t="n">
        <x:v>79.9</x:v>
      </x:c>
      <x:c r="J333" s="38" t="n">
        <x:v>0</x:v>
      </x:c>
      <x:c r="K333" s="36" t="n">
        <x:v>79.9</x:v>
      </x:c>
      <x:c r="L333" s="36" t="n">
        <x:v>159.8</x:v>
      </x:c>
    </x:row>
    <x:row r="334">
      <x:c r="A334" s="34" t="n">
        <x:v>333</x:v>
      </x:c>
      <x:c r="B334" s="34" t="n">
        <x:v>188</x:v>
      </x:c>
      <x:c r="C334" s="34" t="n">
        <x:v>28</x:v>
      </x:c>
      <x:c r="D334" t="str">
        <x:v>Repetidor Wi-Fi</x:v>
      </x:c>
      <x:c r="E334" t="str">
        <x:v>Rede</x:v>
      </x:c>
      <x:c r="F334" s="34" t="n">
        <x:v>6</x:v>
      </x:c>
      <x:c r="G334" t="str">
        <x:v>Connect Rede</x:v>
      </x:c>
      <x:c r="H334" s="34" t="n">
        <x:v>1</x:v>
      </x:c>
      <x:c r="I334" s="36" t="n">
        <x:v>139.9</x:v>
      </x:c>
      <x:c r="J334" s="38" t="n">
        <x:v>0</x:v>
      </x:c>
      <x:c r="K334" s="36" t="n">
        <x:v>139.9</x:v>
      </x:c>
      <x:c r="L334" s="36" t="n">
        <x:v>139.9</x:v>
      </x:c>
    </x:row>
    <x:row r="335">
      <x:c r="A335" s="34" t="n">
        <x:v>334</x:v>
      </x:c>
      <x:c r="B335" s="34" t="n">
        <x:v>189</x:v>
      </x:c>
      <x:c r="C335" s="34" t="n">
        <x:v>12</x:v>
      </x:c>
      <x:c r="D335" t="str">
        <x:v>HD Externo 1TB</x:v>
      </x:c>
      <x:c r="E335" t="str">
        <x:v>Armazenamento</x:v>
      </x:c>
      <x:c r="F335" s="34" t="n">
        <x:v>4</x:v>
      </x:c>
      <x:c r="G335" t="str">
        <x:v>InfoMax Atacado</x:v>
      </x:c>
      <x:c r="H335" s="34" t="n">
        <x:v>1</x:v>
      </x:c>
      <x:c r="I335" s="36" t="n">
        <x:v>369.9</x:v>
      </x:c>
      <x:c r="J335" s="38" t="n">
        <x:v>0.08</x:v>
      </x:c>
      <x:c r="K335" s="36" t="n">
        <x:v>340.31</x:v>
      </x:c>
      <x:c r="L335" s="36" t="n">
        <x:v>340.31</x:v>
      </x:c>
    </x:row>
    <x:row r="336">
      <x:c r="A336" s="34" t="n">
        <x:v>335</x:v>
      </x:c>
      <x:c r="B336" s="34" t="n">
        <x:v>189</x:v>
      </x:c>
      <x:c r="C336" s="34" t="n">
        <x:v>28</x:v>
      </x:c>
      <x:c r="D336" t="str">
        <x:v>Repetidor Wi-Fi</x:v>
      </x:c>
      <x:c r="E336" t="str">
        <x:v>Rede</x:v>
      </x:c>
      <x:c r="F336" s="34" t="n">
        <x:v>6</x:v>
      </x:c>
      <x:c r="G336" t="str">
        <x:v>Connect Rede</x:v>
      </x:c>
      <x:c r="H336" s="34" t="n">
        <x:v>1</x:v>
      </x:c>
      <x:c r="I336" s="36" t="n">
        <x:v>139.9</x:v>
      </x:c>
      <x:c r="J336" s="38" t="n">
        <x:v>0</x:v>
      </x:c>
      <x:c r="K336" s="36" t="n">
        <x:v>139.9</x:v>
      </x:c>
      <x:c r="L336" s="36" t="n">
        <x:v>139.9</x:v>
      </x:c>
    </x:row>
    <x:row r="337">
      <x:c r="A337" s="34" t="n">
        <x:v>336</x:v>
      </x:c>
      <x:c r="B337" s="34" t="n">
        <x:v>189</x:v>
      </x:c>
      <x:c r="C337" s="34" t="n">
        <x:v>1</x:v>
      </x:c>
      <x:c r="D337" t="str">
        <x:v>Mouse Óptico USB</x:v>
      </x:c>
      <x:c r="E337" t="str">
        <x:v>Periféricos</x:v>
      </x:c>
      <x:c r="F337" s="34" t="n">
        <x:v>1</x:v>
      </x:c>
      <x:c r="G337" t="str">
        <x:v>TechDistribuidora Brasil</x:v>
      </x:c>
      <x:c r="H337" s="34" t="n">
        <x:v>1</x:v>
      </x:c>
      <x:c r="I337" s="36" t="n">
        <x:v>49.9</x:v>
      </x:c>
      <x:c r="J337" s="38" t="n">
        <x:v>0.03</x:v>
      </x:c>
      <x:c r="K337" s="36" t="n">
        <x:v>48.4</x:v>
      </x:c>
      <x:c r="L337" s="36" t="n">
        <x:v>48.4</x:v>
      </x:c>
    </x:row>
    <x:row r="338">
      <x:c r="A338" s="34" t="n">
        <x:v>337</x:v>
      </x:c>
      <x:c r="B338" s="34" t="n">
        <x:v>190</x:v>
      </x:c>
      <x:c r="C338" s="34" t="n">
        <x:v>26</x:v>
      </x:c>
      <x:c r="D338" t="str">
        <x:v>Switch 8 Portas Gigabit</x:v>
      </x:c>
      <x:c r="E338" t="str">
        <x:v>Rede</x:v>
      </x:c>
      <x:c r="F338" s="34" t="n">
        <x:v>6</x:v>
      </x:c>
      <x:c r="G338" t="str">
        <x:v>Connect Rede</x:v>
      </x:c>
      <x:c r="H338" s="34" t="n">
        <x:v>1</x:v>
      </x:c>
      <x:c r="I338" s="36" t="n">
        <x:v>189.9</x:v>
      </x:c>
      <x:c r="J338" s="38" t="n">
        <x:v>0</x:v>
      </x:c>
      <x:c r="K338" s="36" t="n">
        <x:v>189.9</x:v>
      </x:c>
      <x:c r="L338" s="36" t="n">
        <x:v>189.9</x:v>
      </x:c>
    </x:row>
    <x:row r="339">
      <x:c r="A339" s="34" t="n">
        <x:v>338</x:v>
      </x:c>
      <x:c r="B339" s="34" t="n">
        <x:v>191</x:v>
      </x:c>
      <x:c r="C339" s="34" t="n">
        <x:v>19</x:v>
      </x:c>
      <x:c r="D339" t="str">
        <x:v>Monitor LED 21.5"</x:v>
      </x:c>
      <x:c r="E339" t="str">
        <x:v>Monitores</x:v>
      </x:c>
      <x:c r="F339" s="34" t="n">
        <x:v>8</x:v>
      </x:c>
      <x:c r="G339" t="str">
        <x:v>Brasil Monitores</x:v>
      </x:c>
      <x:c r="H339" s="34" t="n">
        <x:v>1</x:v>
      </x:c>
      <x:c r="I339" s="36" t="n">
        <x:v>679.9</x:v>
      </x:c>
      <x:c r="J339" s="38" t="n">
        <x:v>0.1</x:v>
      </x:c>
      <x:c r="K339" s="36" t="n">
        <x:v>611.91</x:v>
      </x:c>
      <x:c r="L339" s="36" t="n">
        <x:v>611.91</x:v>
      </x:c>
    </x:row>
    <x:row r="340">
      <x:c r="A340" s="34" t="n">
        <x:v>339</x:v>
      </x:c>
      <x:c r="B340" s="34" t="n">
        <x:v>192</x:v>
      </x:c>
      <x:c r="C340" s="34" t="n">
        <x:v>18</x:v>
      </x:c>
      <x:c r="D340" t="str">
        <x:v>Cooler para Processador</x:v>
      </x:c>
      <x:c r="E340" t="str">
        <x:v>Componentes</x:v>
      </x:c>
      <x:c r="F340" s="34" t="n">
        <x:v>2</x:v>
      </x:c>
      <x:c r="G340" t="str">
        <x:v>Mega Componentes</x:v>
      </x:c>
      <x:c r="H340" s="34" t="n">
        <x:v>1</x:v>
      </x:c>
      <x:c r="I340" s="36" t="n">
        <x:v>99.9</x:v>
      </x:c>
      <x:c r="J340" s="38" t="n">
        <x:v>0.08</x:v>
      </x:c>
      <x:c r="K340" s="36" t="n">
        <x:v>91.91</x:v>
      </x:c>
      <x:c r="L340" s="36" t="n">
        <x:v>91.91</x:v>
      </x:c>
    </x:row>
    <x:row r="341">
      <x:c r="A341" s="34" t="n">
        <x:v>340</x:v>
      </x:c>
      <x:c r="B341" s="34" t="n">
        <x:v>192</x:v>
      </x:c>
      <x:c r="C341" s="34" t="n">
        <x:v>28</x:v>
      </x:c>
      <x:c r="D341" t="str">
        <x:v>Repetidor Wi-Fi</x:v>
      </x:c>
      <x:c r="E341" t="str">
        <x:v>Rede</x:v>
      </x:c>
      <x:c r="F341" s="34" t="n">
        <x:v>6</x:v>
      </x:c>
      <x:c r="G341" t="str">
        <x:v>Connect Rede</x:v>
      </x:c>
      <x:c r="H341" s="34" t="n">
        <x:v>1</x:v>
      </x:c>
      <x:c r="I341" s="36" t="n">
        <x:v>139.9</x:v>
      </x:c>
      <x:c r="J341" s="38" t="n">
        <x:v>0</x:v>
      </x:c>
      <x:c r="K341" s="36" t="n">
        <x:v>139.9</x:v>
      </x:c>
      <x:c r="L341" s="36" t="n">
        <x:v>139.9</x:v>
      </x:c>
    </x:row>
    <x:row r="342">
      <x:c r="A342" s="34" t="n">
        <x:v>341</x:v>
      </x:c>
      <x:c r="B342" s="34" t="n">
        <x:v>193</x:v>
      </x:c>
      <x:c r="C342" s="34" t="n">
        <x:v>26</x:v>
      </x:c>
      <x:c r="D342" t="str">
        <x:v>Switch 8 Portas Gigabit</x:v>
      </x:c>
      <x:c r="E342" t="str">
        <x:v>Rede</x:v>
      </x:c>
      <x:c r="F342" s="34" t="n">
        <x:v>6</x:v>
      </x:c>
      <x:c r="G342" t="str">
        <x:v>Connect Rede</x:v>
      </x:c>
      <x:c r="H342" s="34" t="n">
        <x:v>2</x:v>
      </x:c>
      <x:c r="I342" s="36" t="n">
        <x:v>189.9</x:v>
      </x:c>
      <x:c r="J342" s="38" t="n">
        <x:v>0.12</x:v>
      </x:c>
      <x:c r="K342" s="36" t="n">
        <x:v>167.11</x:v>
      </x:c>
      <x:c r="L342" s="36" t="n">
        <x:v>334.22</x:v>
      </x:c>
    </x:row>
    <x:row r="343">
      <x:c r="A343" s="34" t="n">
        <x:v>342</x:v>
      </x:c>
      <x:c r="B343" s="34" t="n">
        <x:v>194</x:v>
      </x:c>
      <x:c r="C343" s="34" t="n">
        <x:v>18</x:v>
      </x:c>
      <x:c r="D343" t="str">
        <x:v>Cooler para Processador</x:v>
      </x:c>
      <x:c r="E343" t="str">
        <x:v>Componentes</x:v>
      </x:c>
      <x:c r="F343" s="34" t="n">
        <x:v>2</x:v>
      </x:c>
      <x:c r="G343" t="str">
        <x:v>Mega Componentes</x:v>
      </x:c>
      <x:c r="H343" s="34" t="n">
        <x:v>1</x:v>
      </x:c>
      <x:c r="I343" s="36" t="n">
        <x:v>99.9</x:v>
      </x:c>
      <x:c r="J343" s="38" t="n">
        <x:v>0.03</x:v>
      </x:c>
      <x:c r="K343" s="36" t="n">
        <x:v>96.9</x:v>
      </x:c>
      <x:c r="L343" s="36" t="n">
        <x:v>96.9</x:v>
      </x:c>
    </x:row>
    <x:row r="344">
      <x:c r="A344" s="34" t="n">
        <x:v>343</x:v>
      </x:c>
      <x:c r="B344" s="34" t="n">
        <x:v>194</x:v>
      </x:c>
      <x:c r="C344" s="34" t="n">
        <x:v>3</x:v>
      </x:c>
      <x:c r="D344" t="str">
        <x:v>Headset Gamer P2</x:v>
      </x:c>
      <x:c r="E344" t="str">
        <x:v>Periféricos</x:v>
      </x:c>
      <x:c r="F344" s="34" t="n">
        <x:v>5</x:v>
      </x:c>
      <x:c r="G344" t="str">
        <x:v>FastHardware</x:v>
      </x:c>
      <x:c r="H344" s="34" t="n">
        <x:v>1</x:v>
      </x:c>
      <x:c r="I344" s="36" t="n">
        <x:v>159.9</x:v>
      </x:c>
      <x:c r="J344" s="38" t="n">
        <x:v>0.05</x:v>
      </x:c>
      <x:c r="K344" s="36" t="n">
        <x:v>151.91</x:v>
      </x:c>
      <x:c r="L344" s="36" t="n">
        <x:v>151.91</x:v>
      </x:c>
    </x:row>
    <x:row r="345">
      <x:c r="A345" s="34" t="n">
        <x:v>344</x:v>
      </x:c>
      <x:c r="B345" s="34" t="n">
        <x:v>195</x:v>
      </x:c>
      <x:c r="C345" s="34" t="n">
        <x:v>5</x:v>
      </x:c>
      <x:c r="D345" t="str">
        <x:v>Mousepad Grande</x:v>
      </x:c>
      <x:c r="E345" t="str">
        <x:v>Acessórios</x:v>
      </x:c>
      <x:c r="F345" s="34" t="n">
        <x:v>3</x:v>
      </x:c>
      <x:c r="G345" t="str">
        <x:v>Prime Eletrônicos</x:v>
      </x:c>
      <x:c r="H345" s="34" t="n">
        <x:v>2</x:v>
      </x:c>
      <x:c r="I345" s="36" t="n">
        <x:v>39.9</x:v>
      </x:c>
      <x:c r="J345" s="38" t="n">
        <x:v>0</x:v>
      </x:c>
      <x:c r="K345" s="36" t="n">
        <x:v>39.9</x:v>
      </x:c>
      <x:c r="L345" s="36" t="n">
        <x:v>79.8</x:v>
      </x:c>
    </x:row>
    <x:row r="346">
      <x:c r="A346" s="34" t="n">
        <x:v>345</x:v>
      </x:c>
      <x:c r="B346" s="34" t="n">
        <x:v>195</x:v>
      </x:c>
      <x:c r="C346" s="34" t="n">
        <x:v>10</x:v>
      </x:c>
      <x:c r="D346" t="str">
        <x:v>SSD 480GB SATA</x:v>
      </x:c>
      <x:c r="E346" t="str">
        <x:v>Armazenamento</x:v>
      </x:c>
      <x:c r="F346" s="34" t="n">
        <x:v>2</x:v>
      </x:c>
      <x:c r="G346" t="str">
        <x:v>Mega Componentes</x:v>
      </x:c>
      <x:c r="H346" s="34" t="n">
        <x:v>1</x:v>
      </x:c>
      <x:c r="I346" s="36" t="n">
        <x:v>259.9</x:v>
      </x:c>
      <x:c r="J346" s="38" t="n">
        <x:v>0.05</x:v>
      </x:c>
      <x:c r="K346" s="36" t="n">
        <x:v>246.9</x:v>
      </x:c>
      <x:c r="L346" s="36" t="n">
        <x:v>246.9</x:v>
      </x:c>
    </x:row>
    <x:row r="347">
      <x:c r="A347" s="34" t="n">
        <x:v>346</x:v>
      </x:c>
      <x:c r="B347" s="34" t="n">
        <x:v>195</x:v>
      </x:c>
      <x:c r="C347" s="34" t="n">
        <x:v>1</x:v>
      </x:c>
      <x:c r="D347" t="str">
        <x:v>Mouse Óptico USB</x:v>
      </x:c>
      <x:c r="E347" t="str">
        <x:v>Periféricos</x:v>
      </x:c>
      <x:c r="F347" s="34" t="n">
        <x:v>1</x:v>
      </x:c>
      <x:c r="G347" t="str">
        <x:v>TechDistribuidora Brasil</x:v>
      </x:c>
      <x:c r="H347" s="34" t="n">
        <x:v>1</x:v>
      </x:c>
      <x:c r="I347" s="36" t="n">
        <x:v>49.9</x:v>
      </x:c>
      <x:c r="J347" s="38" t="n">
        <x:v>0</x:v>
      </x:c>
      <x:c r="K347" s="36" t="n">
        <x:v>49.9</x:v>
      </x:c>
      <x:c r="L347" s="36" t="n">
        <x:v>49.9</x:v>
      </x:c>
    </x:row>
    <x:row r="348">
      <x:c r="A348" s="34" t="n">
        <x:v>347</x:v>
      </x:c>
      <x:c r="B348" s="34" t="n">
        <x:v>196</x:v>
      </x:c>
      <x:c r="C348" s="34" t="n">
        <x:v>13</x:v>
      </x:c>
      <x:c r="D348" t="str">
        <x:v>Memória RAM 8GB DDR4</x:v>
      </x:c>
      <x:c r="E348" t="str">
        <x:v>Componentes</x:v>
      </x:c>
      <x:c r="F348" s="34" t="n">
        <x:v>2</x:v>
      </x:c>
      <x:c r="G348" t="str">
        <x:v>Mega Componentes</x:v>
      </x:c>
      <x:c r="H348" s="34" t="n">
        <x:v>1</x:v>
      </x:c>
      <x:c r="I348" s="36" t="n">
        <x:v>179.9</x:v>
      </x:c>
      <x:c r="J348" s="38" t="n">
        <x:v>0.03</x:v>
      </x:c>
      <x:c r="K348" s="36" t="n">
        <x:v>174.5</x:v>
      </x:c>
      <x:c r="L348" s="36" t="n">
        <x:v>174.5</x:v>
      </x:c>
    </x:row>
    <x:row r="349">
      <x:c r="A349" s="34" t="n">
        <x:v>348</x:v>
      </x:c>
      <x:c r="B349" s="34" t="n">
        <x:v>196</x:v>
      </x:c>
      <x:c r="C349" s="34" t="n">
        <x:v>16</x:v>
      </x:c>
      <x:c r="D349" t="str">
        <x:v>Placa de Vídeo GTX 1650</x:v>
      </x:c>
      <x:c r="E349" t="str">
        <x:v>Componentes</x:v>
      </x:c>
      <x:c r="F349" s="34" t="n">
        <x:v>5</x:v>
      </x:c>
      <x:c r="G349" t="str">
        <x:v>FastHardware</x:v>
      </x:c>
      <x:c r="H349" s="34" t="n">
        <x:v>2</x:v>
      </x:c>
      <x:c r="I349" s="36" t="n">
        <x:v>949.9</x:v>
      </x:c>
      <x:c r="J349" s="38" t="n">
        <x:v>0.08</x:v>
      </x:c>
      <x:c r="K349" s="36" t="n">
        <x:v>873.91</x:v>
      </x:c>
      <x:c r="L349" s="36" t="n">
        <x:v>1747.82</x:v>
      </x:c>
    </x:row>
    <x:row r="350">
      <x:c r="A350" s="34" t="n">
        <x:v>349</x:v>
      </x:c>
      <x:c r="B350" s="34" t="n">
        <x:v>197</x:v>
      </x:c>
      <x:c r="C350" s="34" t="n">
        <x:v>5</x:v>
      </x:c>
      <x:c r="D350" t="str">
        <x:v>Mousepad Grande</x:v>
      </x:c>
      <x:c r="E350" t="str">
        <x:v>Acessórios</x:v>
      </x:c>
      <x:c r="F350" s="34" t="n">
        <x:v>3</x:v>
      </x:c>
      <x:c r="G350" t="str">
        <x:v>Prime Eletrônicos</x:v>
      </x:c>
      <x:c r="H350" s="34" t="n">
        <x:v>1</x:v>
      </x:c>
      <x:c r="I350" s="36" t="n">
        <x:v>39.9</x:v>
      </x:c>
      <x:c r="J350" s="38" t="n">
        <x:v>0.03</x:v>
      </x:c>
      <x:c r="K350" s="36" t="n">
        <x:v>38.7</x:v>
      </x:c>
      <x:c r="L350" s="36" t="n">
        <x:v>38.7</x:v>
      </x:c>
    </x:row>
    <x:row r="351">
      <x:c r="A351" s="34" t="n">
        <x:v>350</x:v>
      </x:c>
      <x:c r="B351" s="34" t="n">
        <x:v>197</x:v>
      </x:c>
      <x:c r="C351" s="34" t="n">
        <x:v>1</x:v>
      </x:c>
      <x:c r="D351" t="str">
        <x:v>Mouse Óptico USB</x:v>
      </x:c>
      <x:c r="E351" t="str">
        <x:v>Periféricos</x:v>
      </x:c>
      <x:c r="F351" s="34" t="n">
        <x:v>1</x:v>
      </x:c>
      <x:c r="G351" t="str">
        <x:v>TechDistribuidora Brasil</x:v>
      </x:c>
      <x:c r="H351" s="34" t="n">
        <x:v>1</x:v>
      </x:c>
      <x:c r="I351" s="36" t="n">
        <x:v>49.9</x:v>
      </x:c>
      <x:c r="J351" s="38" t="n">
        <x:v>0.1</x:v>
      </x:c>
      <x:c r="K351" s="36" t="n">
        <x:v>44.91</x:v>
      </x:c>
      <x:c r="L351" s="36" t="n">
        <x:v>44.91</x:v>
      </x:c>
    </x:row>
    <x:row r="352">
      <x:c r="A352" s="34" t="n">
        <x:v>351</x:v>
      </x:c>
      <x:c r="B352" s="34" t="n">
        <x:v>198</x:v>
      </x:c>
      <x:c r="C352" s="34" t="n">
        <x:v>2</x:v>
      </x:c>
      <x:c r="D352" t="str">
        <x:v>Teclado Membrana ABNT2</x:v>
      </x:c>
      <x:c r="E352" t="str">
        <x:v>Periféricos</x:v>
      </x:c>
      <x:c r="F352" s="34" t="n">
        <x:v>1</x:v>
      </x:c>
      <x:c r="G352" t="str">
        <x:v>TechDistribuidora Brasil</x:v>
      </x:c>
      <x:c r="H352" s="34" t="n">
        <x:v>1</x:v>
      </x:c>
      <x:c r="I352" s="36" t="n">
        <x:v>89.9</x:v>
      </x:c>
      <x:c r="J352" s="38" t="n">
        <x:v>0</x:v>
      </x:c>
      <x:c r="K352" s="36" t="n">
        <x:v>89.9</x:v>
      </x:c>
      <x:c r="L352" s="36" t="n">
        <x:v>89.9</x:v>
      </x:c>
    </x:row>
    <x:row r="353">
      <x:c r="A353" s="34" t="n">
        <x:v>352</x:v>
      </x:c>
      <x:c r="B353" s="34" t="n">
        <x:v>198</x:v>
      </x:c>
      <x:c r="C353" s="34" t="n">
        <x:v>5</x:v>
      </x:c>
      <x:c r="D353" t="str">
        <x:v>Mousepad Grande</x:v>
      </x:c>
      <x:c r="E353" t="str">
        <x:v>Acessórios</x:v>
      </x:c>
      <x:c r="F353" s="34" t="n">
        <x:v>3</x:v>
      </x:c>
      <x:c r="G353" t="str">
        <x:v>Prime Eletrônicos</x:v>
      </x:c>
      <x:c r="H353" s="34" t="n">
        <x:v>3</x:v>
      </x:c>
      <x:c r="I353" s="36" t="n">
        <x:v>39.9</x:v>
      </x:c>
      <x:c r="J353" s="38" t="n">
        <x:v>0</x:v>
      </x:c>
      <x:c r="K353" s="36" t="n">
        <x:v>39.9</x:v>
      </x:c>
      <x:c r="L353" s="36" t="n">
        <x:v>119.7</x:v>
      </x:c>
    </x:row>
    <x:row r="354">
      <x:c r="A354" s="34" t="n">
        <x:v>353</x:v>
      </x:c>
      <x:c r="B354" s="34" t="n">
        <x:v>199</x:v>
      </x:c>
      <x:c r="C354" s="34" t="n">
        <x:v>27</x:v>
      </x:c>
      <x:c r="D354" t="str">
        <x:v>Placa de Rede PCIe</x:v>
      </x:c>
      <x:c r="E354" t="str">
        <x:v>Rede</x:v>
      </x:c>
      <x:c r="F354" s="34" t="n">
        <x:v>6</x:v>
      </x:c>
      <x:c r="G354" t="str">
        <x:v>Connect Rede</x:v>
      </x:c>
      <x:c r="H354" s="34" t="n">
        <x:v>1</x:v>
      </x:c>
      <x:c r="I354" s="36" t="n">
        <x:v>79.9</x:v>
      </x:c>
      <x:c r="J354" s="38" t="n">
        <x:v>0</x:v>
      </x:c>
      <x:c r="K354" s="36" t="n">
        <x:v>79.9</x:v>
      </x:c>
      <x:c r="L354" s="36" t="n">
        <x:v>79.9</x:v>
      </x:c>
    </x:row>
    <x:row r="355">
      <x:c r="A355" s="34" t="n">
        <x:v>354</x:v>
      </x:c>
      <x:c r="B355" s="34" t="n">
        <x:v>199</x:v>
      </x:c>
      <x:c r="C355" s="34" t="n">
        <x:v>1</x:v>
      </x:c>
      <x:c r="D355" t="str">
        <x:v>Mouse Óptico USB</x:v>
      </x:c>
      <x:c r="E355" t="str">
        <x:v>Periféricos</x:v>
      </x:c>
      <x:c r="F355" s="34" t="n">
        <x:v>1</x:v>
      </x:c>
      <x:c r="G355" t="str">
        <x:v>TechDistribuidora Brasil</x:v>
      </x:c>
      <x:c r="H355" s="34" t="n">
        <x:v>1</x:v>
      </x:c>
      <x:c r="I355" s="36" t="n">
        <x:v>49.9</x:v>
      </x:c>
      <x:c r="J355" s="38" t="n">
        <x:v>0</x:v>
      </x:c>
      <x:c r="K355" s="36" t="n">
        <x:v>49.9</x:v>
      </x:c>
      <x:c r="L355" s="36" t="n">
        <x:v>49.9</x:v>
      </x:c>
    </x:row>
    <x:row r="356">
      <x:c r="A356" s="34" t="n">
        <x:v>355</x:v>
      </x:c>
      <x:c r="B356" s="34" t="n">
        <x:v>199</x:v>
      </x:c>
      <x:c r="C356" s="34" t="n">
        <x:v>3</x:v>
      </x:c>
      <x:c r="D356" t="str">
        <x:v>Headset Gamer P2</x:v>
      </x:c>
      <x:c r="E356" t="str">
        <x:v>Periféricos</x:v>
      </x:c>
      <x:c r="F356" s="34" t="n">
        <x:v>5</x:v>
      </x:c>
      <x:c r="G356" t="str">
        <x:v>FastHardware</x:v>
      </x:c>
      <x:c r="H356" s="34" t="n">
        <x:v>2</x:v>
      </x:c>
      <x:c r="I356" s="36" t="n">
        <x:v>159.9</x:v>
      </x:c>
      <x:c r="J356" s="38" t="n">
        <x:v>0.05</x:v>
      </x:c>
      <x:c r="K356" s="36" t="n">
        <x:v>151.91</x:v>
      </x:c>
      <x:c r="L356" s="36" t="n">
        <x:v>303.82</x:v>
      </x:c>
    </x:row>
    <x:row r="357">
      <x:c r="A357" s="34" t="n">
        <x:v>356</x:v>
      </x:c>
      <x:c r="B357" s="34" t="n">
        <x:v>200</x:v>
      </x:c>
      <x:c r="C357" s="34" t="n">
        <x:v>25</x:v>
      </x:c>
      <x:c r="D357" t="str">
        <x:v>Roteador Wi-Fi AC1200</x:v>
      </x:c>
      <x:c r="E357" t="str">
        <x:v>Rede</x:v>
      </x:c>
      <x:c r="F357" s="34" t="n">
        <x:v>6</x:v>
      </x:c>
      <x:c r="G357" t="str">
        <x:v>Connect Rede</x:v>
      </x:c>
      <x:c r="H357" s="34" t="n">
        <x:v>2</x:v>
      </x:c>
      <x:c r="I357" s="36" t="n">
        <x:v>249.9</x:v>
      </x:c>
      <x:c r="J357" s="38" t="n">
        <x:v>0.05</x:v>
      </x:c>
      <x:c r="K357" s="36" t="n">
        <x:v>237.41</x:v>
      </x:c>
      <x:c r="L357" s="36" t="n">
        <x:v>474.82</x:v>
      </x:c>
    </x:row>
    <x:row r="358">
      <x:c r="A358" s="34" t="n">
        <x:v>357</x:v>
      </x:c>
      <x:c r="B358" s="34" t="n">
        <x:v>200</x:v>
      </x:c>
      <x:c r="C358" s="34" t="n">
        <x:v>2</x:v>
      </x:c>
      <x:c r="D358" t="str">
        <x:v>Teclado Membrana ABNT2</x:v>
      </x:c>
      <x:c r="E358" t="str">
        <x:v>Periféricos</x:v>
      </x:c>
      <x:c r="F358" s="34" t="n">
        <x:v>1</x:v>
      </x:c>
      <x:c r="G358" t="str">
        <x:v>TechDistribuidora Brasil</x:v>
      </x:c>
      <x:c r="H358" s="34" t="n">
        <x:v>1</x:v>
      </x:c>
      <x:c r="I358" s="36" t="n">
        <x:v>89.9</x:v>
      </x:c>
      <x:c r="J358" s="38" t="n">
        <x:v>0</x:v>
      </x:c>
      <x:c r="K358" s="36" t="n">
        <x:v>89.9</x:v>
      </x:c>
      <x:c r="L358" s="36" t="n">
        <x:v>89.9</x:v>
      </x:c>
    </x:row>
    <x:row r="359">
      <x:c r="A359" s="34" t="n">
        <x:v>358</x:v>
      </x:c>
      <x:c r="B359" s="34" t="n">
        <x:v>201</x:v>
      </x:c>
      <x:c r="C359" s="34" t="n">
        <x:v>27</x:v>
      </x:c>
      <x:c r="D359" t="str">
        <x:v>Placa de Rede PCIe</x:v>
      </x:c>
      <x:c r="E359" t="str">
        <x:v>Rede</x:v>
      </x:c>
      <x:c r="F359" s="34" t="n">
        <x:v>6</x:v>
      </x:c>
      <x:c r="G359" t="str">
        <x:v>Connect Rede</x:v>
      </x:c>
      <x:c r="H359" s="34" t="n">
        <x:v>2</x:v>
      </x:c>
      <x:c r="I359" s="36" t="n">
        <x:v>79.9</x:v>
      </x:c>
      <x:c r="J359" s="38" t="n">
        <x:v>0.03</x:v>
      </x:c>
      <x:c r="K359" s="36" t="n">
        <x:v>77.5</x:v>
      </x:c>
      <x:c r="L359" s="36" t="n">
        <x:v>155</x:v>
      </x:c>
    </x:row>
    <x:row r="360">
      <x:c r="A360" s="34" t="n">
        <x:v>359</x:v>
      </x:c>
      <x:c r="B360" s="34" t="n">
        <x:v>201</x:v>
      </x:c>
      <x:c r="C360" s="34" t="n">
        <x:v>18</x:v>
      </x:c>
      <x:c r="D360" t="str">
        <x:v>Cooler para Processador</x:v>
      </x:c>
      <x:c r="E360" t="str">
        <x:v>Componentes</x:v>
      </x:c>
      <x:c r="F360" s="34" t="n">
        <x:v>2</x:v>
      </x:c>
      <x:c r="G360" t="str">
        <x:v>Mega Componentes</x:v>
      </x:c>
      <x:c r="H360" s="34" t="n">
        <x:v>2</x:v>
      </x:c>
      <x:c r="I360" s="36" t="n">
        <x:v>99.9</x:v>
      </x:c>
      <x:c r="J360" s="38" t="n">
        <x:v>0.05</x:v>
      </x:c>
      <x:c r="K360" s="36" t="n">
        <x:v>94.91</x:v>
      </x:c>
      <x:c r="L360" s="36" t="n">
        <x:v>189.82</x:v>
      </x:c>
    </x:row>
    <x:row r="361">
      <x:c r="A361" s="34" t="n">
        <x:v>360</x:v>
      </x:c>
      <x:c r="B361" s="34" t="n">
        <x:v>201</x:v>
      </x:c>
      <x:c r="C361" s="34" t="n">
        <x:v>8</x:v>
      </x:c>
      <x:c r="D361" t="str">
        <x:v>Suporte Articulado para Monitor</x:v>
      </x:c>
      <x:c r="E361" t="str">
        <x:v>Acessórios</x:v>
      </x:c>
      <x:c r="F361" s="34" t="n">
        <x:v>7</x:v>
      </x:c>
      <x:c r="G361" t="str">
        <x:v>OfficeTech Supply</x:v>
      </x:c>
      <x:c r="H361" s="34" t="n">
        <x:v>1</x:v>
      </x:c>
      <x:c r="I361" s="36" t="n">
        <x:v>149.9</x:v>
      </x:c>
      <x:c r="J361" s="38" t="n">
        <x:v>0.1</x:v>
      </x:c>
      <x:c r="K361" s="36" t="n">
        <x:v>134.91</x:v>
      </x:c>
      <x:c r="L361" s="36" t="n">
        <x:v>134.91</x:v>
      </x:c>
    </x:row>
    <x:row r="362">
      <x:c r="A362" s="34" t="n">
        <x:v>361</x:v>
      </x:c>
      <x:c r="B362" s="34" t="n">
        <x:v>202</x:v>
      </x:c>
      <x:c r="C362" s="34" t="n">
        <x:v>16</x:v>
      </x:c>
      <x:c r="D362" t="str">
        <x:v>Placa de Vídeo GTX 1650</x:v>
      </x:c>
      <x:c r="E362" t="str">
        <x:v>Componentes</x:v>
      </x:c>
      <x:c r="F362" s="34" t="n">
        <x:v>5</x:v>
      </x:c>
      <x:c r="G362" t="str">
        <x:v>FastHardware</x:v>
      </x:c>
      <x:c r="H362" s="34" t="n">
        <x:v>1</x:v>
      </x:c>
      <x:c r="I362" s="36" t="n">
        <x:v>949.9</x:v>
      </x:c>
      <x:c r="J362" s="38" t="n">
        <x:v>0.12</x:v>
      </x:c>
      <x:c r="K362" s="36" t="n">
        <x:v>835.91</x:v>
      </x:c>
      <x:c r="L362" s="36" t="n">
        <x:v>835.91</x:v>
      </x:c>
    </x:row>
    <x:row r="363">
      <x:c r="A363" s="34" t="n">
        <x:v>362</x:v>
      </x:c>
      <x:c r="B363" s="34" t="n">
        <x:v>202</x:v>
      </x:c>
      <x:c r="C363" s="34" t="n">
        <x:v>2</x:v>
      </x:c>
      <x:c r="D363" t="str">
        <x:v>Teclado Membrana ABNT2</x:v>
      </x:c>
      <x:c r="E363" t="str">
        <x:v>Periféricos</x:v>
      </x:c>
      <x:c r="F363" s="34" t="n">
        <x:v>1</x:v>
      </x:c>
      <x:c r="G363" t="str">
        <x:v>TechDistribuidora Brasil</x:v>
      </x:c>
      <x:c r="H363" s="34" t="n">
        <x:v>1</x:v>
      </x:c>
      <x:c r="I363" s="36" t="n">
        <x:v>89.9</x:v>
      </x:c>
      <x:c r="J363" s="38" t="n">
        <x:v>0.03</x:v>
      </x:c>
      <x:c r="K363" s="36" t="n">
        <x:v>87.2</x:v>
      </x:c>
      <x:c r="L363" s="36" t="n">
        <x:v>87.2</x:v>
      </x:c>
    </x:row>
    <x:row r="364">
      <x:c r="A364" s="34" t="n">
        <x:v>363</x:v>
      </x:c>
      <x:c r="B364" s="34" t="n">
        <x:v>203</x:v>
      </x:c>
      <x:c r="C364" s="34" t="n">
        <x:v>9</x:v>
      </x:c>
      <x:c r="D364" t="str">
        <x:v>SSD 240GB SATA</x:v>
      </x:c>
      <x:c r="E364" t="str">
        <x:v>Armazenamento</x:v>
      </x:c>
      <x:c r="F364" s="34" t="n">
        <x:v>2</x:v>
      </x:c>
      <x:c r="G364" t="str">
        <x:v>Mega Componentes</x:v>
      </x:c>
      <x:c r="H364" s="34" t="n">
        <x:v>1</x:v>
      </x:c>
      <x:c r="I364" s="36" t="n">
        <x:v>169.9</x:v>
      </x:c>
      <x:c r="J364" s="38" t="n">
        <x:v>0.03</x:v>
      </x:c>
      <x:c r="K364" s="36" t="n">
        <x:v>164.8</x:v>
      </x:c>
      <x:c r="L364" s="36" t="n">
        <x:v>164.8</x:v>
      </x:c>
    </x:row>
    <x:row r="365">
      <x:c r="A365" s="34" t="n">
        <x:v>364</x:v>
      </x:c>
      <x:c r="B365" s="34" t="n">
        <x:v>204</x:v>
      </x:c>
      <x:c r="C365" s="34" t="n">
        <x:v>8</x:v>
      </x:c>
      <x:c r="D365" t="str">
        <x:v>Suporte Articulado para Monitor</x:v>
      </x:c>
      <x:c r="E365" t="str">
        <x:v>Acessórios</x:v>
      </x:c>
      <x:c r="F365" s="34" t="n">
        <x:v>7</x:v>
      </x:c>
      <x:c r="G365" t="str">
        <x:v>OfficeTech Supply</x:v>
      </x:c>
      <x:c r="H365" s="34" t="n">
        <x:v>2</x:v>
      </x:c>
      <x:c r="I365" s="36" t="n">
        <x:v>149.9</x:v>
      </x:c>
      <x:c r="J365" s="38" t="n">
        <x:v>0.05</x:v>
      </x:c>
      <x:c r="K365" s="36" t="n">
        <x:v>142.41</x:v>
      </x:c>
      <x:c r="L365" s="36" t="n">
        <x:v>284.82</x:v>
      </x:c>
    </x:row>
    <x:row r="366">
      <x:c r="A366" s="34" t="n">
        <x:v>365</x:v>
      </x:c>
      <x:c r="B366" s="34" t="n">
        <x:v>205</x:v>
      </x:c>
      <x:c r="C366" s="34" t="n">
        <x:v>10</x:v>
      </x:c>
      <x:c r="D366" t="str">
        <x:v>SSD 480GB SATA</x:v>
      </x:c>
      <x:c r="E366" t="str">
        <x:v>Armazenamento</x:v>
      </x:c>
      <x:c r="F366" s="34" t="n">
        <x:v>2</x:v>
      </x:c>
      <x:c r="G366" t="str">
        <x:v>Mega Componentes</x:v>
      </x:c>
      <x:c r="H366" s="34" t="n">
        <x:v>1</x:v>
      </x:c>
      <x:c r="I366" s="36" t="n">
        <x:v>259.9</x:v>
      </x:c>
      <x:c r="J366" s="38" t="n">
        <x:v>0.08</x:v>
      </x:c>
      <x:c r="K366" s="36" t="n">
        <x:v>239.11</x:v>
      </x:c>
      <x:c r="L366" s="36" t="n">
        <x:v>239.11</x:v>
      </x:c>
    </x:row>
    <x:row r="367">
      <x:c r="A367" s="34" t="n">
        <x:v>366</x:v>
      </x:c>
      <x:c r="B367" s="34" t="n">
        <x:v>206</x:v>
      </x:c>
      <x:c r="C367" s="34" t="n">
        <x:v>28</x:v>
      </x:c>
      <x:c r="D367" t="str">
        <x:v>Repetidor Wi-Fi</x:v>
      </x:c>
      <x:c r="E367" t="str">
        <x:v>Rede</x:v>
      </x:c>
      <x:c r="F367" s="34" t="n">
        <x:v>6</x:v>
      </x:c>
      <x:c r="G367" t="str">
        <x:v>Connect Rede</x:v>
      </x:c>
      <x:c r="H367" s="34" t="n">
        <x:v>1</x:v>
      </x:c>
      <x:c r="I367" s="36" t="n">
        <x:v>139.9</x:v>
      </x:c>
      <x:c r="J367" s="38" t="n">
        <x:v>0.05</x:v>
      </x:c>
      <x:c r="K367" s="36" t="n">
        <x:v>132.91</x:v>
      </x:c>
      <x:c r="L367" s="36" t="n">
        <x:v>132.91</x:v>
      </x:c>
    </x:row>
    <x:row r="368">
      <x:c r="A368" s="34" t="n">
        <x:v>367</x:v>
      </x:c>
      <x:c r="B368" s="34" t="n">
        <x:v>206</x:v>
      </x:c>
      <x:c r="C368" s="34" t="n">
        <x:v>6</x:v>
      </x:c>
      <x:c r="D368" t="str">
        <x:v>Cabo HDMI 2m</x:v>
      </x:c>
      <x:c r="E368" t="str">
        <x:v>Acessórios</x:v>
      </x:c>
      <x:c r="F368" s="34" t="n">
        <x:v>3</x:v>
      </x:c>
      <x:c r="G368" t="str">
        <x:v>Prime Eletrônicos</x:v>
      </x:c>
      <x:c r="H368" s="34" t="n">
        <x:v>1</x:v>
      </x:c>
      <x:c r="I368" s="36" t="n">
        <x:v>29.9</x:v>
      </x:c>
      <x:c r="J368" s="38" t="n">
        <x:v>0.05</x:v>
      </x:c>
      <x:c r="K368" s="36" t="n">
        <x:v>28.4</x:v>
      </x:c>
      <x:c r="L368" s="36" t="n">
        <x:v>28.4</x:v>
      </x:c>
    </x:row>
    <x:row r="369">
      <x:c r="A369" s="34" t="n">
        <x:v>368</x:v>
      </x:c>
      <x:c r="B369" s="34" t="n">
        <x:v>207</x:v>
      </x:c>
      <x:c r="C369" s="34" t="n">
        <x:v>13</x:v>
      </x:c>
      <x:c r="D369" t="str">
        <x:v>Memória RAM 8GB DDR4</x:v>
      </x:c>
      <x:c r="E369" t="str">
        <x:v>Componentes</x:v>
      </x:c>
      <x:c r="F369" s="34" t="n">
        <x:v>2</x:v>
      </x:c>
      <x:c r="G369" t="str">
        <x:v>Mega Componentes</x:v>
      </x:c>
      <x:c r="H369" s="34" t="n">
        <x:v>1</x:v>
      </x:c>
      <x:c r="I369" s="36" t="n">
        <x:v>179.9</x:v>
      </x:c>
      <x:c r="J369" s="38" t="n">
        <x:v>0.08</x:v>
      </x:c>
      <x:c r="K369" s="36" t="n">
        <x:v>165.51</x:v>
      </x:c>
      <x:c r="L369" s="36" t="n">
        <x:v>165.51</x:v>
      </x:c>
    </x:row>
    <x:row r="370">
      <x:c r="A370" s="34" t="n">
        <x:v>369</x:v>
      </x:c>
      <x:c r="B370" s="34" t="n">
        <x:v>208</x:v>
      </x:c>
      <x:c r="C370" s="34" t="n">
        <x:v>13</x:v>
      </x:c>
      <x:c r="D370" t="str">
        <x:v>Memória RAM 8GB DDR4</x:v>
      </x:c>
      <x:c r="E370" t="str">
        <x:v>Componentes</x:v>
      </x:c>
      <x:c r="F370" s="34" t="n">
        <x:v>2</x:v>
      </x:c>
      <x:c r="G370" t="str">
        <x:v>Mega Componentes</x:v>
      </x:c>
      <x:c r="H370" s="34" t="n">
        <x:v>2</x:v>
      </x:c>
      <x:c r="I370" s="36" t="n">
        <x:v>179.9</x:v>
      </x:c>
      <x:c r="J370" s="38" t="n">
        <x:v>0</x:v>
      </x:c>
      <x:c r="K370" s="36" t="n">
        <x:v>179.9</x:v>
      </x:c>
      <x:c r="L370" s="36" t="n">
        <x:v>359.8</x:v>
      </x:c>
    </x:row>
    <x:row r="371">
      <x:c r="A371" s="34" t="n">
        <x:v>370</x:v>
      </x:c>
      <x:c r="B371" s="34" t="n">
        <x:v>209</x:v>
      </x:c>
      <x:c r="C371" s="34" t="n">
        <x:v>15</x:v>
      </x:c>
      <x:c r="D371" t="str">
        <x:v>Fonte 500W 80 Plus</x:v>
      </x:c>
      <x:c r="E371" t="str">
        <x:v>Componentes</x:v>
      </x:c>
      <x:c r="F371" s="34" t="n">
        <x:v>5</x:v>
      </x:c>
      <x:c r="G371" t="str">
        <x:v>FastHardware</x:v>
      </x:c>
      <x:c r="H371" s="34" t="n">
        <x:v>2</x:v>
      </x:c>
      <x:c r="I371" s="36" t="n">
        <x:v>289.9</x:v>
      </x:c>
      <x:c r="J371" s="38" t="n">
        <x:v>0.03</x:v>
      </x:c>
      <x:c r="K371" s="36" t="n">
        <x:v>281.2</x:v>
      </x:c>
      <x:c r="L371" s="36" t="n">
        <x:v>562.4</x:v>
      </x:c>
    </x:row>
    <x:row r="372">
      <x:c r="A372" s="34" t="n">
        <x:v>371</x:v>
      </x:c>
      <x:c r="B372" s="34" t="n">
        <x:v>209</x:v>
      </x:c>
      <x:c r="C372" s="34" t="n">
        <x:v>2</x:v>
      </x:c>
      <x:c r="D372" t="str">
        <x:v>Teclado Membrana ABNT2</x:v>
      </x:c>
      <x:c r="E372" t="str">
        <x:v>Periféricos</x:v>
      </x:c>
      <x:c r="F372" s="34" t="n">
        <x:v>1</x:v>
      </x:c>
      <x:c r="G372" t="str">
        <x:v>TechDistribuidora Brasil</x:v>
      </x:c>
      <x:c r="H372" s="34" t="n">
        <x:v>1</x:v>
      </x:c>
      <x:c r="I372" s="36" t="n">
        <x:v>89.9</x:v>
      </x:c>
      <x:c r="J372" s="38" t="n">
        <x:v>0.03</x:v>
      </x:c>
      <x:c r="K372" s="36" t="n">
        <x:v>87.2</x:v>
      </x:c>
      <x:c r="L372" s="36" t="n">
        <x:v>87.2</x:v>
      </x:c>
    </x:row>
    <x:row r="373">
      <x:c r="A373" s="34" t="n">
        <x:v>372</x:v>
      </x:c>
      <x:c r="B373" s="34" t="n">
        <x:v>210</x:v>
      </x:c>
      <x:c r="C373" s="34" t="n">
        <x:v>3</x:v>
      </x:c>
      <x:c r="D373" t="str">
        <x:v>Headset Gamer P2</x:v>
      </x:c>
      <x:c r="E373" t="str">
        <x:v>Periféricos</x:v>
      </x:c>
      <x:c r="F373" s="34" t="n">
        <x:v>5</x:v>
      </x:c>
      <x:c r="G373" t="str">
        <x:v>FastHardware</x:v>
      </x:c>
      <x:c r="H373" s="34" t="n">
        <x:v>2</x:v>
      </x:c>
      <x:c r="I373" s="36" t="n">
        <x:v>159.9</x:v>
      </x:c>
      <x:c r="J373" s="38" t="n">
        <x:v>0.05</x:v>
      </x:c>
      <x:c r="K373" s="36" t="n">
        <x:v>151.91</x:v>
      </x:c>
      <x:c r="L373" s="36" t="n">
        <x:v>303.82</x:v>
      </x:c>
    </x:row>
    <x:row r="374">
      <x:c r="A374" s="34" t="n">
        <x:v>373</x:v>
      </x:c>
      <x:c r="B374" s="34" t="n">
        <x:v>210</x:v>
      </x:c>
      <x:c r="C374" s="34" t="n">
        <x:v>11</x:v>
      </x:c>
      <x:c r="D374" t="str">
        <x:v>SSD NVMe 500GB</x:v>
      </x:c>
      <x:c r="E374" t="str">
        <x:v>Armazenamento</x:v>
      </x:c>
      <x:c r="F374" s="34" t="n">
        <x:v>5</x:v>
      </x:c>
      <x:c r="G374" t="str">
        <x:v>FastHardware</x:v>
      </x:c>
      <x:c r="H374" s="34" t="n">
        <x:v>1</x:v>
      </x:c>
      <x:c r="I374" s="36" t="n">
        <x:v>329.9</x:v>
      </x:c>
      <x:c r="J374" s="38" t="n">
        <x:v>0.1</x:v>
      </x:c>
      <x:c r="K374" s="36" t="n">
        <x:v>296.91</x:v>
      </x:c>
      <x:c r="L374" s="36" t="n">
        <x:v>296.91</x:v>
      </x:c>
    </x:row>
    <x:row r="375">
      <x:c r="A375" s="34" t="n">
        <x:v>374</x:v>
      </x:c>
      <x:c r="B375" s="34" t="n">
        <x:v>210</x:v>
      </x:c>
      <x:c r="C375" s="34" t="n">
        <x:v>18</x:v>
      </x:c>
      <x:c r="D375" t="str">
        <x:v>Cooler para Processador</x:v>
      </x:c>
      <x:c r="E375" t="str">
        <x:v>Componentes</x:v>
      </x:c>
      <x:c r="F375" s="34" t="n">
        <x:v>2</x:v>
      </x:c>
      <x:c r="G375" t="str">
        <x:v>Mega Componentes</x:v>
      </x:c>
      <x:c r="H375" s="34" t="n">
        <x:v>3</x:v>
      </x:c>
      <x:c r="I375" s="36" t="n">
        <x:v>99.9</x:v>
      </x:c>
      <x:c r="J375" s="38" t="n">
        <x:v>0</x:v>
      </x:c>
      <x:c r="K375" s="36" t="n">
        <x:v>99.9</x:v>
      </x:c>
      <x:c r="L375" s="36" t="n">
        <x:v>299.7</x:v>
      </x:c>
    </x:row>
    <x:row r="376">
      <x:c r="A376" s="34" t="n">
        <x:v>375</x:v>
      </x:c>
      <x:c r="B376" s="34" t="n">
        <x:v>211</x:v>
      </x:c>
      <x:c r="C376" s="34" t="n">
        <x:v>27</x:v>
      </x:c>
      <x:c r="D376" t="str">
        <x:v>Placa de Rede PCIe</x:v>
      </x:c>
      <x:c r="E376" t="str">
        <x:v>Rede</x:v>
      </x:c>
      <x:c r="F376" s="34" t="n">
        <x:v>6</x:v>
      </x:c>
      <x:c r="G376" t="str">
        <x:v>Connect Rede</x:v>
      </x:c>
      <x:c r="H376" s="34" t="n">
        <x:v>1</x:v>
      </x:c>
      <x:c r="I376" s="36" t="n">
        <x:v>79.9</x:v>
      </x:c>
      <x:c r="J376" s="38" t="n">
        <x:v>0</x:v>
      </x:c>
      <x:c r="K376" s="36" t="n">
        <x:v>79.9</x:v>
      </x:c>
      <x:c r="L376" s="36" t="n">
        <x:v>79.9</x:v>
      </x:c>
    </x:row>
    <x:row r="377">
      <x:c r="A377" s="34" t="n">
        <x:v>376</x:v>
      </x:c>
      <x:c r="B377" s="34" t="n">
        <x:v>211</x:v>
      </x:c>
      <x:c r="C377" s="34" t="n">
        <x:v>9</x:v>
      </x:c>
      <x:c r="D377" t="str">
        <x:v>SSD 240GB SATA</x:v>
      </x:c>
      <x:c r="E377" t="str">
        <x:v>Armazenamento</x:v>
      </x:c>
      <x:c r="F377" s="34" t="n">
        <x:v>2</x:v>
      </x:c>
      <x:c r="G377" t="str">
        <x:v>Mega Componentes</x:v>
      </x:c>
      <x:c r="H377" s="34" t="n">
        <x:v>1</x:v>
      </x:c>
      <x:c r="I377" s="36" t="n">
        <x:v>169.9</x:v>
      </x:c>
      <x:c r="J377" s="38" t="n">
        <x:v>0.05</x:v>
      </x:c>
      <x:c r="K377" s="36" t="n">
        <x:v>161.41</x:v>
      </x:c>
      <x:c r="L377" s="36" t="n">
        <x:v>161.41</x:v>
      </x:c>
    </x:row>
    <x:row r="378">
      <x:c r="A378" s="34" t="n">
        <x:v>377</x:v>
      </x:c>
      <x:c r="B378" s="34" t="n">
        <x:v>212</x:v>
      </x:c>
      <x:c r="C378" s="34" t="n">
        <x:v>28</x:v>
      </x:c>
      <x:c r="D378" t="str">
        <x:v>Repetidor Wi-Fi</x:v>
      </x:c>
      <x:c r="E378" t="str">
        <x:v>Rede</x:v>
      </x:c>
      <x:c r="F378" s="34" t="n">
        <x:v>6</x:v>
      </x:c>
      <x:c r="G378" t="str">
        <x:v>Connect Rede</x:v>
      </x:c>
      <x:c r="H378" s="34" t="n">
        <x:v>1</x:v>
      </x:c>
      <x:c r="I378" s="36" t="n">
        <x:v>139.9</x:v>
      </x:c>
      <x:c r="J378" s="38" t="n">
        <x:v>0.03</x:v>
      </x:c>
      <x:c r="K378" s="36" t="n">
        <x:v>135.7</x:v>
      </x:c>
      <x:c r="L378" s="36" t="n">
        <x:v>135.7</x:v>
      </x:c>
    </x:row>
    <x:row r="379">
      <x:c r="A379" s="34" t="n">
        <x:v>378</x:v>
      </x:c>
      <x:c r="B379" s="34" t="n">
        <x:v>212</x:v>
      </x:c>
      <x:c r="C379" s="34" t="n">
        <x:v>14</x:v>
      </x:c>
      <x:c r="D379" t="str">
        <x:v>Memória RAM 16GB DDR4</x:v>
      </x:c>
      <x:c r="E379" t="str">
        <x:v>Componentes</x:v>
      </x:c>
      <x:c r="F379" s="34" t="n">
        <x:v>2</x:v>
      </x:c>
      <x:c r="G379" t="str">
        <x:v>Mega Componentes</x:v>
      </x:c>
      <x:c r="H379" s="34" t="n">
        <x:v>1</x:v>
      </x:c>
      <x:c r="I379" s="36" t="n">
        <x:v>319.9</x:v>
      </x:c>
      <x:c r="J379" s="38" t="n">
        <x:v>0</x:v>
      </x:c>
      <x:c r="K379" s="36" t="n">
        <x:v>319.9</x:v>
      </x:c>
      <x:c r="L379" s="36" t="n">
        <x:v>319.9</x:v>
      </x:c>
    </x:row>
    <x:row r="380">
      <x:c r="A380" s="34" t="n">
        <x:v>379</x:v>
      </x:c>
      <x:c r="B380" s="34" t="n">
        <x:v>213</x:v>
      </x:c>
      <x:c r="C380" s="34" t="n">
        <x:v>27</x:v>
      </x:c>
      <x:c r="D380" t="str">
        <x:v>Placa de Rede PCIe</x:v>
      </x:c>
      <x:c r="E380" t="str">
        <x:v>Rede</x:v>
      </x:c>
      <x:c r="F380" s="34" t="n">
        <x:v>6</x:v>
      </x:c>
      <x:c r="G380" t="str">
        <x:v>Connect Rede</x:v>
      </x:c>
      <x:c r="H380" s="34" t="n">
        <x:v>2</x:v>
      </x:c>
      <x:c r="I380" s="36" t="n">
        <x:v>79.9</x:v>
      </x:c>
      <x:c r="J380" s="38" t="n">
        <x:v>0.12</x:v>
      </x:c>
      <x:c r="K380" s="36" t="n">
        <x:v>70.31</x:v>
      </x:c>
      <x:c r="L380" s="36" t="n">
        <x:v>140.62</x:v>
      </x:c>
    </x:row>
    <x:row r="381">
      <x:c r="A381" s="34" t="n">
        <x:v>380</x:v>
      </x:c>
      <x:c r="B381" s="34" t="n">
        <x:v>213</x:v>
      </x:c>
      <x:c r="C381" s="34" t="n">
        <x:v>7</x:v>
      </x:c>
      <x:c r="D381" t="str">
        <x:v>Adaptador USB-C HDMI</x:v>
      </x:c>
      <x:c r="E381" t="str">
        <x:v>Acessórios</x:v>
      </x:c>
      <x:c r="F381" s="34" t="n">
        <x:v>3</x:v>
      </x:c>
      <x:c r="G381" t="str">
        <x:v>Prime Eletrônicos</x:v>
      </x:c>
      <x:c r="H381" s="34" t="n">
        <x:v>2</x:v>
      </x:c>
      <x:c r="I381" s="36" t="n">
        <x:v>119.9</x:v>
      </x:c>
      <x:c r="J381" s="38" t="n">
        <x:v>0</x:v>
      </x:c>
      <x:c r="K381" s="36" t="n">
        <x:v>119.9</x:v>
      </x:c>
      <x:c r="L381" s="36" t="n">
        <x:v>239.8</x:v>
      </x:c>
    </x:row>
    <x:row r="382">
      <x:c r="A382" s="34" t="n">
        <x:v>381</x:v>
      </x:c>
      <x:c r="B382" s="34" t="n">
        <x:v>214</x:v>
      </x:c>
      <x:c r="C382" s="34" t="n">
        <x:v>18</x:v>
      </x:c>
      <x:c r="D382" t="str">
        <x:v>Cooler para Processador</x:v>
      </x:c>
      <x:c r="E382" t="str">
        <x:v>Componentes</x:v>
      </x:c>
      <x:c r="F382" s="34" t="n">
        <x:v>2</x:v>
      </x:c>
      <x:c r="G382" t="str">
        <x:v>Mega Componentes</x:v>
      </x:c>
      <x:c r="H382" s="34" t="n">
        <x:v>2</x:v>
      </x:c>
      <x:c r="I382" s="36" t="n">
        <x:v>99.9</x:v>
      </x:c>
      <x:c r="J382" s="38" t="n">
        <x:v>0.05</x:v>
      </x:c>
      <x:c r="K382" s="36" t="n">
        <x:v>94.91</x:v>
      </x:c>
      <x:c r="L382" s="36" t="n">
        <x:v>189.82</x:v>
      </x:c>
    </x:row>
    <x:row r="383">
      <x:c r="A383" s="34" t="n">
        <x:v>382</x:v>
      </x:c>
      <x:c r="B383" s="34" t="n">
        <x:v>215</x:v>
      </x:c>
      <x:c r="C383" s="34" t="n">
        <x:v>25</x:v>
      </x:c>
      <x:c r="D383" t="str">
        <x:v>Roteador Wi-Fi AC1200</x:v>
      </x:c>
      <x:c r="E383" t="str">
        <x:v>Rede</x:v>
      </x:c>
      <x:c r="F383" s="34" t="n">
        <x:v>6</x:v>
      </x:c>
      <x:c r="G383" t="str">
        <x:v>Connect Rede</x:v>
      </x:c>
      <x:c r="H383" s="34" t="n">
        <x:v>3</x:v>
      </x:c>
      <x:c r="I383" s="36" t="n">
        <x:v>249.9</x:v>
      </x:c>
      <x:c r="J383" s="38" t="n">
        <x:v>0</x:v>
      </x:c>
      <x:c r="K383" s="36" t="n">
        <x:v>249.9</x:v>
      </x:c>
      <x:c r="L383" s="36" t="n">
        <x:v>749.7</x:v>
      </x:c>
    </x:row>
    <x:row r="384">
      <x:c r="A384" s="34" t="n">
        <x:v>383</x:v>
      </x:c>
      <x:c r="B384" s="34" t="n">
        <x:v>215</x:v>
      </x:c>
      <x:c r="C384" s="34" t="n">
        <x:v>16</x:v>
      </x:c>
      <x:c r="D384" t="str">
        <x:v>Placa de Vídeo GTX 1650</x:v>
      </x:c>
      <x:c r="E384" t="str">
        <x:v>Componentes</x:v>
      </x:c>
      <x:c r="F384" s="34" t="n">
        <x:v>5</x:v>
      </x:c>
      <x:c r="G384" t="str">
        <x:v>FastHardware</x:v>
      </x:c>
      <x:c r="H384" s="34" t="n">
        <x:v>2</x:v>
      </x:c>
      <x:c r="I384" s="36" t="n">
        <x:v>949.9</x:v>
      </x:c>
      <x:c r="J384" s="38" t="n">
        <x:v>0</x:v>
      </x:c>
      <x:c r="K384" s="36" t="n">
        <x:v>949.9</x:v>
      </x:c>
      <x:c r="L384" s="36" t="n">
        <x:v>1899.8</x:v>
      </x:c>
    </x:row>
    <x:row r="385">
      <x:c r="A385" s="34" t="n">
        <x:v>384</x:v>
      </x:c>
      <x:c r="B385" s="34" t="n">
        <x:v>216</x:v>
      </x:c>
      <x:c r="C385" s="34" t="n">
        <x:v>26</x:v>
      </x:c>
      <x:c r="D385" t="str">
        <x:v>Switch 8 Portas Gigabit</x:v>
      </x:c>
      <x:c r="E385" t="str">
        <x:v>Rede</x:v>
      </x:c>
      <x:c r="F385" s="34" t="n">
        <x:v>6</x:v>
      </x:c>
      <x:c r="G385" t="str">
        <x:v>Connect Rede</x:v>
      </x:c>
      <x:c r="H385" s="34" t="n">
        <x:v>1</x:v>
      </x:c>
      <x:c r="I385" s="36" t="n">
        <x:v>189.9</x:v>
      </x:c>
      <x:c r="J385" s="38" t="n">
        <x:v>0.05</x:v>
      </x:c>
      <x:c r="K385" s="36" t="n">
        <x:v>180.41</x:v>
      </x:c>
      <x:c r="L385" s="36" t="n">
        <x:v>180.41</x:v>
      </x:c>
    </x:row>
    <x:row r="386">
      <x:c r="A386" s="34" t="n">
        <x:v>385</x:v>
      </x:c>
      <x:c r="B386" s="34" t="n">
        <x:v>216</x:v>
      </x:c>
      <x:c r="C386" s="34" t="n">
        <x:v>27</x:v>
      </x:c>
      <x:c r="D386" t="str">
        <x:v>Placa de Rede PCIe</x:v>
      </x:c>
      <x:c r="E386" t="str">
        <x:v>Rede</x:v>
      </x:c>
      <x:c r="F386" s="34" t="n">
        <x:v>6</x:v>
      </x:c>
      <x:c r="G386" t="str">
        <x:v>Connect Rede</x:v>
      </x:c>
      <x:c r="H386" s="34" t="n">
        <x:v>1</x:v>
      </x:c>
      <x:c r="I386" s="36" t="n">
        <x:v>79.9</x:v>
      </x:c>
      <x:c r="J386" s="38" t="n">
        <x:v>0</x:v>
      </x:c>
      <x:c r="K386" s="36" t="n">
        <x:v>79.9</x:v>
      </x:c>
      <x:c r="L386" s="36" t="n">
        <x:v>79.9</x:v>
      </x:c>
    </x:row>
    <x:row r="387">
      <x:c r="A387" s="34" t="n">
        <x:v>386</x:v>
      </x:c>
      <x:c r="B387" s="34" t="n">
        <x:v>216</x:v>
      </x:c>
      <x:c r="C387" s="34" t="n">
        <x:v>17</x:v>
      </x:c>
      <x:c r="D387" t="str">
        <x:v>Processador Ryzen 5</x:v>
      </x:c>
      <x:c r="E387" t="str">
        <x:v>Componentes</x:v>
      </x:c>
      <x:c r="F387" s="34" t="n">
        <x:v>5</x:v>
      </x:c>
      <x:c r="G387" t="str">
        <x:v>FastHardware</x:v>
      </x:c>
      <x:c r="H387" s="34" t="n">
        <x:v>1</x:v>
      </x:c>
      <x:c r="I387" s="36" t="n">
        <x:v>799.9</x:v>
      </x:c>
      <x:c r="J387" s="38" t="n">
        <x:v>0</x:v>
      </x:c>
      <x:c r="K387" s="36" t="n">
        <x:v>799.9</x:v>
      </x:c>
      <x:c r="L387" s="36" t="n">
        <x:v>799.9</x:v>
      </x:c>
    </x:row>
    <x:row r="388">
      <x:c r="A388" s="34" t="n">
        <x:v>387</x:v>
      </x:c>
      <x:c r="B388" s="34" t="n">
        <x:v>217</x:v>
      </x:c>
      <x:c r="C388" s="34" t="n">
        <x:v>3</x:v>
      </x:c>
      <x:c r="D388" t="str">
        <x:v>Headset Gamer P2</x:v>
      </x:c>
      <x:c r="E388" t="str">
        <x:v>Periféricos</x:v>
      </x:c>
      <x:c r="F388" s="34" t="n">
        <x:v>5</x:v>
      </x:c>
      <x:c r="G388" t="str">
        <x:v>FastHardware</x:v>
      </x:c>
      <x:c r="H388" s="34" t="n">
        <x:v>3</x:v>
      </x:c>
      <x:c r="I388" s="36" t="n">
        <x:v>159.9</x:v>
      </x:c>
      <x:c r="J388" s="38" t="n">
        <x:v>0.03</x:v>
      </x:c>
      <x:c r="K388" s="36" t="n">
        <x:v>155.1</x:v>
      </x:c>
      <x:c r="L388" s="36" t="n">
        <x:v>465.3</x:v>
      </x:c>
    </x:row>
    <x:row r="389">
      <x:c r="A389" s="34" t="n">
        <x:v>388</x:v>
      </x:c>
      <x:c r="B389" s="34" t="n">
        <x:v>218</x:v>
      </x:c>
      <x:c r="C389" s="34" t="n">
        <x:v>14</x:v>
      </x:c>
      <x:c r="D389" t="str">
        <x:v>Memória RAM 16GB DDR4</x:v>
      </x:c>
      <x:c r="E389" t="str">
        <x:v>Componentes</x:v>
      </x:c>
      <x:c r="F389" s="34" t="n">
        <x:v>2</x:v>
      </x:c>
      <x:c r="G389" t="str">
        <x:v>Mega Componentes</x:v>
      </x:c>
      <x:c r="H389" s="34" t="n">
        <x:v>1</x:v>
      </x:c>
      <x:c r="I389" s="36" t="n">
        <x:v>319.9</x:v>
      </x:c>
      <x:c r="J389" s="38" t="n">
        <x:v>0.03</x:v>
      </x:c>
      <x:c r="K389" s="36" t="n">
        <x:v>310.3</x:v>
      </x:c>
      <x:c r="L389" s="36" t="n">
        <x:v>310.3</x:v>
      </x:c>
    </x:row>
    <x:row r="390">
      <x:c r="A390" s="34" t="n">
        <x:v>389</x:v>
      </x:c>
      <x:c r="B390" s="34" t="n">
        <x:v>218</x:v>
      </x:c>
      <x:c r="C390" s="34" t="n">
        <x:v>9</x:v>
      </x:c>
      <x:c r="D390" t="str">
        <x:v>SSD 240GB SATA</x:v>
      </x:c>
      <x:c r="E390" t="str">
        <x:v>Armazenamento</x:v>
      </x:c>
      <x:c r="F390" s="34" t="n">
        <x:v>2</x:v>
      </x:c>
      <x:c r="G390" t="str">
        <x:v>Mega Componentes</x:v>
      </x:c>
      <x:c r="H390" s="34" t="n">
        <x:v>1</x:v>
      </x:c>
      <x:c r="I390" s="36" t="n">
        <x:v>169.9</x:v>
      </x:c>
      <x:c r="J390" s="38" t="n">
        <x:v>0.03</x:v>
      </x:c>
      <x:c r="K390" s="36" t="n">
        <x:v>164.8</x:v>
      </x:c>
      <x:c r="L390" s="36" t="n">
        <x:v>164.8</x:v>
      </x:c>
    </x:row>
    <x:row r="391">
      <x:c r="A391" s="34" t="n">
        <x:v>390</x:v>
      </x:c>
      <x:c r="B391" s="34" t="n">
        <x:v>219</x:v>
      </x:c>
      <x:c r="C391" s="34" t="n">
        <x:v>14</x:v>
      </x:c>
      <x:c r="D391" t="str">
        <x:v>Memória RAM 16GB DDR4</x:v>
      </x:c>
      <x:c r="E391" t="str">
        <x:v>Componentes</x:v>
      </x:c>
      <x:c r="F391" s="34" t="n">
        <x:v>2</x:v>
      </x:c>
      <x:c r="G391" t="str">
        <x:v>Mega Componentes</x:v>
      </x:c>
      <x:c r="H391" s="34" t="n">
        <x:v>1</x:v>
      </x:c>
      <x:c r="I391" s="36" t="n">
        <x:v>319.9</x:v>
      </x:c>
      <x:c r="J391" s="38" t="n">
        <x:v>0</x:v>
      </x:c>
      <x:c r="K391" s="36" t="n">
        <x:v>319.9</x:v>
      </x:c>
      <x:c r="L391" s="36" t="n">
        <x:v>319.9</x:v>
      </x:c>
    </x:row>
    <x:row r="392">
      <x:c r="A392" s="34" t="n">
        <x:v>391</x:v>
      </x:c>
      <x:c r="B392" s="34" t="n">
        <x:v>219</x:v>
      </x:c>
      <x:c r="C392" s="34" t="n">
        <x:v>6</x:v>
      </x:c>
      <x:c r="D392" t="str">
        <x:v>Cabo HDMI 2m</x:v>
      </x:c>
      <x:c r="E392" t="str">
        <x:v>Acessórios</x:v>
      </x:c>
      <x:c r="F392" s="34" t="n">
        <x:v>3</x:v>
      </x:c>
      <x:c r="G392" t="str">
        <x:v>Prime Eletrônicos</x:v>
      </x:c>
      <x:c r="H392" s="34" t="n">
        <x:v>1</x:v>
      </x:c>
      <x:c r="I392" s="36" t="n">
        <x:v>29.9</x:v>
      </x:c>
      <x:c r="J392" s="38" t="n">
        <x:v>0</x:v>
      </x:c>
      <x:c r="K392" s="36" t="n">
        <x:v>29.9</x:v>
      </x:c>
      <x:c r="L392" s="36" t="n">
        <x:v>29.9</x:v>
      </x:c>
    </x:row>
    <x:row r="393">
      <x:c r="A393" s="34" t="n">
        <x:v>392</x:v>
      </x:c>
      <x:c r="B393" s="34" t="n">
        <x:v>219</x:v>
      </x:c>
      <x:c r="C393" s="34" t="n">
        <x:v>5</x:v>
      </x:c>
      <x:c r="D393" t="str">
        <x:v>Mousepad Grande</x:v>
      </x:c>
      <x:c r="E393" t="str">
        <x:v>Acessórios</x:v>
      </x:c>
      <x:c r="F393" s="34" t="n">
        <x:v>3</x:v>
      </x:c>
      <x:c r="G393" t="str">
        <x:v>Prime Eletrônicos</x:v>
      </x:c>
      <x:c r="H393" s="34" t="n">
        <x:v>2</x:v>
      </x:c>
      <x:c r="I393" s="36" t="n">
        <x:v>39.9</x:v>
      </x:c>
      <x:c r="J393" s="38" t="n">
        <x:v>0.1</x:v>
      </x:c>
      <x:c r="K393" s="36" t="n">
        <x:v>35.91</x:v>
      </x:c>
      <x:c r="L393" s="36" t="n">
        <x:v>71.82</x:v>
      </x:c>
    </x:row>
    <x:row r="394">
      <x:c r="A394" s="34" t="n">
        <x:v>393</x:v>
      </x:c>
      <x:c r="B394" s="34" t="n">
        <x:v>220</x:v>
      </x:c>
      <x:c r="C394" s="34" t="n">
        <x:v>6</x:v>
      </x:c>
      <x:c r="D394" t="str">
        <x:v>Cabo HDMI 2m</x:v>
      </x:c>
      <x:c r="E394" t="str">
        <x:v>Acessórios</x:v>
      </x:c>
      <x:c r="F394" s="34" t="n">
        <x:v>3</x:v>
      </x:c>
      <x:c r="G394" t="str">
        <x:v>Prime Eletrônicos</x:v>
      </x:c>
      <x:c r="H394" s="34" t="n">
        <x:v>1</x:v>
      </x:c>
      <x:c r="I394" s="36" t="n">
        <x:v>29.9</x:v>
      </x:c>
      <x:c r="J394" s="38" t="n">
        <x:v>0.08</x:v>
      </x:c>
      <x:c r="K394" s="36" t="n">
        <x:v>27.51</x:v>
      </x:c>
      <x:c r="L394" s="36" t="n">
        <x:v>27.51</x:v>
      </x:c>
    </x:row>
    <x:row r="395">
      <x:c r="A395" s="34" t="n">
        <x:v>394</x:v>
      </x:c>
      <x:c r="B395" s="34" t="n">
        <x:v>220</x:v>
      </x:c>
      <x:c r="C395" s="34" t="n">
        <x:v>27</x:v>
      </x:c>
      <x:c r="D395" t="str">
        <x:v>Placa de Rede PCIe</x:v>
      </x:c>
      <x:c r="E395" t="str">
        <x:v>Rede</x:v>
      </x:c>
      <x:c r="F395" s="34" t="n">
        <x:v>6</x:v>
      </x:c>
      <x:c r="G395" t="str">
        <x:v>Connect Rede</x:v>
      </x:c>
      <x:c r="H395" s="34" t="n">
        <x:v>1</x:v>
      </x:c>
      <x:c r="I395" s="36" t="n">
        <x:v>79.9</x:v>
      </x:c>
      <x:c r="J395" s="38" t="n">
        <x:v>0</x:v>
      </x:c>
      <x:c r="K395" s="36" t="n">
        <x:v>79.9</x:v>
      </x:c>
      <x:c r="L395" s="36" t="n">
        <x:v>79.9</x:v>
      </x:c>
    </x:row>
  </x:sheetData>
  <x:pageMargins left="0.7" right="0.7" top="0.75" bottom="0.75" header="0.3" footer="0.3"/>
  <x:tableParts count="1">
    <x:tablePart xmlns:r="http://schemas.openxmlformats.org/officeDocument/2006/relationships" r:id="R7ed7e982a61c4317"/>
  </x:tableParts>
</x:worksheet>
</file>

<file path=xl/worksheets/sheet7.xml><?xml version="1.0" encoding="utf-8"?>
<x:worksheet xmlns:x="http://schemas.openxmlformats.org/spreadsheetml/2006/main">
  <x:sheetFormatPr defaultRowHeight="15"/>
  <x:cols>
    <x:col min="6" max="6" width="16.690000534057617" hidden="0" customWidth="1"/>
    <x:col min="14" max="14" width="25.979999542236328" hidden="0" customWidth="1"/>
    <x:col min="15" max="15" width="13.1899995803833" hidden="0" customWidth="1"/>
    <x:col min="16" max="16" width="18.709999084472656" hidden="0" customWidth="1"/>
    <x:col min="29" max="29" width="23.81999969482422" hidden="0" customWidth="1"/>
    <x:col min="1" max="1" width="8.880000114440918" hidden="0" customWidth="1"/>
    <x:col min="2" max="2" width="10.899999618530273" hidden="0" customWidth="1"/>
    <x:col min="3" max="3" width="12.920000076293945" hidden="0" customWidth="1"/>
    <x:col min="4" max="4" width="6.590000152587891" hidden="0" customWidth="1"/>
    <x:col min="5" max="5" width="10.630000114440918" hidden="0" customWidth="1"/>
    <x:col min="7" max="7" width="10.770000457763672" hidden="0" customWidth="1"/>
    <x:col min="8" max="8" width="16.959999084472656" hidden="0" customWidth="1"/>
    <x:col min="9" max="9" width="13.59000015258789" hidden="0" customWidth="1"/>
    <x:col min="10" max="10" width="17.5" hidden="0" customWidth="1"/>
    <x:col min="11" max="11" width="12.920000076293945" hidden="0" customWidth="1"/>
    <x:col min="12" max="12" width="17.770000457763672" hidden="0" customWidth="1"/>
    <x:col min="13" max="13" width="11.84000015258789" hidden="0" customWidth="1"/>
    <x:col min="17" max="17" width="11.979999542236328" hidden="0" customWidth="1"/>
    <x:col min="18" max="18" width="20.31999969482422" hidden="0" customWidth="1"/>
    <x:col min="19" max="19" width="13.59000015258789" hidden="0" customWidth="1"/>
    <x:col min="20" max="20" width="19.25" hidden="0" customWidth="1"/>
    <x:col min="21" max="21" width="16.959999084472656" hidden="0" customWidth="1"/>
    <x:col min="22" max="22" width="19.920000076293945" hidden="0" customWidth="1"/>
    <x:col min="23" max="23" width="21.270000457763672" hidden="0" customWidth="1"/>
    <x:col min="24" max="24" width="11.710000038146973" hidden="0" customWidth="1"/>
    <x:col min="25" max="25" width="11.4399995803833" hidden="0" customWidth="1"/>
    <x:col min="26" max="26" width="12.920000076293945" hidden="0" customWidth="1"/>
    <x:col min="27" max="27" width="13.1899995803833" hidden="0" customWidth="1"/>
    <x:col min="28" max="28" width="13.1899995803833" hidden="0" customWidth="1"/>
  </x:cols>
  <x:sheetData>
    <x:row r="1">
      <x:c r="A1" s="26" t="str">
        <x:v>item_id</x:v>
      </x:c>
      <x:c r="B1" s="26" t="str">
        <x:v>pedido_id</x:v>
      </x:c>
      <x:c r="C1" s="26" t="str">
        <x:v>data_pedido</x:v>
      </x:c>
      <x:c r="D1" s="26" t="str">
        <x:v>mes</x:v>
      </x:c>
      <x:c r="E1" s="26" t="str">
        <x:v>cliente_id</x:v>
      </x:c>
      <x:c r="F1" s="26" t="str">
        <x:v>cliente</x:v>
      </x:c>
      <x:c r="G1" s="26" t="str">
        <x:v>uf_cliente</x:v>
      </x:c>
      <x:c r="H1" s="26" t="str">
        <x:v>cidade_cliente</x:v>
      </x:c>
      <x:c r="I1" s="26" t="str">
        <x:v>idade_cliente</x:v>
      </x:c>
      <x:c r="J1" s="26" t="str">
        <x:v>status_pedido</x:v>
      </x:c>
      <x:c r="K1" s="26" t="str">
        <x:v>canal_venda</x:v>
      </x:c>
      <x:c r="L1" s="26" t="str">
        <x:v>forma_pagamento</x:v>
      </x:c>
      <x:c r="M1" s="26" t="str">
        <x:v>produto_id</x:v>
      </x:c>
      <x:c r="N1" s="26" t="str">
        <x:v>produto</x:v>
      </x:c>
      <x:c r="O1" s="26" t="str">
        <x:v>categoria</x:v>
      </x:c>
      <x:c r="P1" s="26" t="str">
        <x:v>fornecedor</x:v>
      </x:c>
      <x:c r="Q1" s="26" t="str">
        <x:v>quantidade</x:v>
      </x:c>
      <x:c r="R1" s="26" t="str">
        <x:v>valor_unitario_tabela</x:v>
      </x:c>
      <x:c r="S1" s="26" t="str">
        <x:v>desconto_pct</x:v>
      </x:c>
      <x:c r="T1" s="26" t="str">
        <x:v>valor_pago_unitario</x:v>
      </x:c>
      <x:c r="U1" s="26" t="str">
        <x:v>valor_bruto_item</x:v>
      </x:c>
      <x:c r="V1" s="26" t="str">
        <x:v>desconto_valor_item</x:v>
      </x:c>
      <x:c r="W1" s="26" t="str">
        <x:v>receita_realizada_item</x:v>
      </x:c>
      <x:c r="X1" s="26" t="str">
        <x:v>custo_item</x:v>
      </x:c>
      <x:c r="Y1" s="26" t="str">
        <x:v>lucro_item</x:v>
      </x:c>
      <x:c r="Z1" s="26" t="str">
        <x:v>margem_pct</x:v>
      </x:c>
      <x:c r="AA1" s="26" t="str">
        <x:v>frete_pedido</x:v>
      </x:c>
      <x:c r="AB1" s="26" t="str">
        <x:v>dias_entrega</x:v>
      </x:c>
      <x:c r="AC1" s="26" t="str">
        <x:v>motivo_cancelamento</x:v>
      </x:c>
    </x:row>
    <x:row r="2">
      <x:c r="A2" s="34" t="n">
        <x:v>1</x:v>
      </x:c>
      <x:c r="B2" s="34" t="n">
        <x:v>1</x:v>
      </x:c>
      <x:c r="C2" s="32" t="n">
        <x:v>46066</x:v>
      </x:c>
      <x:c r="D2" t="str">
        <x:v>2026-02</x:v>
      </x:c>
      <x:c r="E2" s="34" t="n">
        <x:v>49</x:v>
      </x:c>
      <x:c r="F2" t="str">
        <x:v>Caio Ribeiro</x:v>
      </x:c>
      <x:c r="G2" t="str">
        <x:v>BA</x:v>
      </x:c>
      <x:c r="H2" t="str">
        <x:v>Feira de Santana</x:v>
      </x:c>
      <x:c r="I2" s="34" t="n">
        <x:v>43</x:v>
      </x:c>
      <x:c r="J2" t="str">
        <x:v>ENTREGUE</x:v>
      </x:c>
      <x:c r="K2" t="str">
        <x:v>Site</x:v>
      </x:c>
      <x:c r="L2" t="str">
        <x:v>Pix</x:v>
      </x:c>
      <x:c r="M2" s="34" t="n">
        <x:v>5</x:v>
      </x:c>
      <x:c r="N2" t="str">
        <x:v>Mousepad Grande</x:v>
      </x:c>
      <x:c r="O2" t="str">
        <x:v>Acessórios</x:v>
      </x:c>
      <x:c r="P2" t="str">
        <x:v>Prime Eletrônicos</x:v>
      </x:c>
      <x:c r="Q2" s="34" t="n">
        <x:v>2</x:v>
      </x:c>
      <x:c r="R2" s="36" t="n">
        <x:v>39.9</x:v>
      </x:c>
      <x:c r="S2" s="38" t="n">
        <x:v>0.05</x:v>
      </x:c>
      <x:c r="T2" s="36" t="n">
        <x:v>37.9</x:v>
      </x:c>
      <x:c r="U2" s="36" t="n">
        <x:v>79.8</x:v>
      </x:c>
      <x:c r="V2" s="36" t="n">
        <x:v>4</x:v>
      </x:c>
      <x:c r="W2" s="36" t="n">
        <x:v>75.8</x:v>
      </x:c>
      <x:c r="X2" s="36" t="n">
        <x:v>34</x:v>
      </x:c>
      <x:c r="Y2" s="36" t="n">
        <x:v>41.8</x:v>
      </x:c>
      <x:c r="Z2" s="38" t="n">
        <x:v>0.5515</x:v>
      </x:c>
      <x:c r="AA2" s="36" t="n">
        <x:v>42.97</x:v>
      </x:c>
      <x:c r="AB2" s="34" t="n">
        <x:v>3</x:v>
      </x:c>
      <x:c r="AC2" t="str"/>
    </x:row>
    <x:row r="3">
      <x:c r="A3" s="34" t="n">
        <x:v>2</x:v>
      </x:c>
      <x:c r="B3" s="34" t="n">
        <x:v>2</x:v>
      </x:c>
      <x:c r="C3" s="32" t="n">
        <x:v>46116</x:v>
      </x:c>
      <x:c r="D3" t="str">
        <x:v>2026-04</x:v>
      </x:c>
      <x:c r="E3" s="34" t="n">
        <x:v>20</x:v>
      </x:c>
      <x:c r="F3" t="str">
        <x:v>Henrique Silva</x:v>
      </x:c>
      <x:c r="G3" t="str">
        <x:v>SP</x:v>
      </x:c>
      <x:c r="H3" t="str">
        <x:v>Ribeirão Preto</x:v>
      </x:c>
      <x:c r="I3" s="34" t="n">
        <x:v>21</x:v>
      </x:c>
      <x:c r="J3" t="str">
        <x:v>ENTREGUE</x:v>
      </x:c>
      <x:c r="K3" t="str">
        <x:v>WhatsApp</x:v>
      </x:c>
      <x:c r="L3" t="str">
        <x:v>Cartão crédito</x:v>
      </x:c>
      <x:c r="M3" s="34" t="n">
        <x:v>10</x:v>
      </x:c>
      <x:c r="N3" t="str">
        <x:v>SSD 480GB SATA</x:v>
      </x:c>
      <x:c r="O3" t="str">
        <x:v>Armazenamento</x:v>
      </x:c>
      <x:c r="P3" t="str">
        <x:v>Mega Componentes</x:v>
      </x:c>
      <x:c r="Q3" s="34" t="n">
        <x:v>2</x:v>
      </x:c>
      <x:c r="R3" s="36" t="n">
        <x:v>259.9</x:v>
      </x:c>
      <x:c r="S3" s="38" t="n">
        <x:v>0.03</x:v>
      </x:c>
      <x:c r="T3" s="36" t="n">
        <x:v>252.1</x:v>
      </x:c>
      <x:c r="U3" s="36" t="n">
        <x:v>519.8</x:v>
      </x:c>
      <x:c r="V3" s="36" t="n">
        <x:v>15.6</x:v>
      </x:c>
      <x:c r="W3" s="36" t="n">
        <x:v>504.2</x:v>
      </x:c>
      <x:c r="X3" s="36" t="n">
        <x:v>316</x:v>
      </x:c>
      <x:c r="Y3" s="36" t="n">
        <x:v>188.2</x:v>
      </x:c>
      <x:c r="Z3" s="38" t="n">
        <x:v>0.3733</x:v>
      </x:c>
      <x:c r="AA3" s="36" t="n">
        <x:v>50.17</x:v>
      </x:c>
      <x:c r="AB3" s="34" t="n">
        <x:v>7</x:v>
      </x:c>
      <x:c r="AC3" t="str"/>
    </x:row>
    <x:row r="4">
      <x:c r="A4" s="34" t="n">
        <x:v>3</x:v>
      </x:c>
      <x:c r="B4" s="34" t="n">
        <x:v>2</x:v>
      </x:c>
      <x:c r="C4" s="32" t="n">
        <x:v>46116</x:v>
      </x:c>
      <x:c r="D4" t="str">
        <x:v>2026-04</x:v>
      </x:c>
      <x:c r="E4" s="34" t="n">
        <x:v>20</x:v>
      </x:c>
      <x:c r="F4" t="str">
        <x:v>Henrique Silva</x:v>
      </x:c>
      <x:c r="G4" t="str">
        <x:v>SP</x:v>
      </x:c>
      <x:c r="H4" t="str">
        <x:v>Ribeirão Preto</x:v>
      </x:c>
      <x:c r="I4" s="34" t="n">
        <x:v>21</x:v>
      </x:c>
      <x:c r="J4" t="str">
        <x:v>ENTREGUE</x:v>
      </x:c>
      <x:c r="K4" t="str">
        <x:v>WhatsApp</x:v>
      </x:c>
      <x:c r="L4" t="str">
        <x:v>Cartão crédito</x:v>
      </x:c>
      <x:c r="M4" s="34" t="n">
        <x:v>2</x:v>
      </x:c>
      <x:c r="N4" t="str">
        <x:v>Teclado Membrana ABNT2</x:v>
      </x:c>
      <x:c r="O4" t="str">
        <x:v>Periféricos</x:v>
      </x:c>
      <x:c r="P4" t="str">
        <x:v>TechDistribuidora Brasil</x:v>
      </x:c>
      <x:c r="Q4" s="34" t="n">
        <x:v>1</x:v>
      </x:c>
      <x:c r="R4" s="36" t="n">
        <x:v>89.9</x:v>
      </x:c>
      <x:c r="S4" s="38" t="n">
        <x:v>0.08</x:v>
      </x:c>
      <x:c r="T4" s="36" t="n">
        <x:v>82.71</x:v>
      </x:c>
      <x:c r="U4" s="36" t="n">
        <x:v>89.9</x:v>
      </x:c>
      <x:c r="V4" s="36" t="n">
        <x:v>7.19</x:v>
      </x:c>
      <x:c r="W4" s="36" t="n">
        <x:v>82.71</x:v>
      </x:c>
      <x:c r="X4" s="36" t="n">
        <x:v>48</x:v>
      </x:c>
      <x:c r="Y4" s="36" t="n">
        <x:v>34.71</x:v>
      </x:c>
      <x:c r="Z4" s="38" t="n">
        <x:v>0.4197</x:v>
      </x:c>
      <x:c r="AA4" s="36" t="n">
        <x:v>50.17</x:v>
      </x:c>
      <x:c r="AB4" s="34" t="n">
        <x:v>7</x:v>
      </x:c>
      <x:c r="AC4" t="str"/>
    </x:row>
    <x:row r="5">
      <x:c r="A5" s="34" t="n">
        <x:v>4</x:v>
      </x:c>
      <x:c r="B5" s="34" t="n">
        <x:v>3</x:v>
      </x:c>
      <x:c r="C5" s="32" t="n">
        <x:v>46082</x:v>
      </x:c>
      <x:c r="D5" t="str">
        <x:v>2026-03</x:v>
      </x:c>
      <x:c r="E5" s="34" t="n">
        <x:v>16</x:v>
      </x:c>
      <x:c r="F5" t="str">
        <x:v>Larissa Martins</x:v>
      </x:c>
      <x:c r="G5" t="str">
        <x:v>SP</x:v>
      </x:c>
      <x:c r="H5" t="str">
        <x:v>São José do Rio Preto</x:v>
      </x:c>
      <x:c r="I5" s="34" t="n">
        <x:v>33</x:v>
      </x:c>
      <x:c r="J5" t="str">
        <x:v>CANCELADO</x:v>
      </x:c>
      <x:c r="K5" t="str">
        <x:v>WhatsApp</x:v>
      </x:c>
      <x:c r="L5" t="str">
        <x:v>Pix</x:v>
      </x:c>
      <x:c r="M5" s="34" t="n">
        <x:v>3</x:v>
      </x:c>
      <x:c r="N5" t="str">
        <x:v>Headset Gamer P2</x:v>
      </x:c>
      <x:c r="O5" t="str">
        <x:v>Periféricos</x:v>
      </x:c>
      <x:c r="P5" t="str">
        <x:v>FastHardware</x:v>
      </x:c>
      <x:c r="Q5" s="34" t="n">
        <x:v>2</x:v>
      </x:c>
      <x:c r="R5" s="36" t="n">
        <x:v>159.9</x:v>
      </x:c>
      <x:c r="S5" s="38" t="n">
        <x:v>0</x:v>
      </x:c>
      <x:c r="T5" s="36" t="n">
        <x:v>159.9</x:v>
      </x:c>
      <x:c r="U5" s="36" t="n">
        <x:v>319.8</x:v>
      </x:c>
      <x:c r="V5" s="36" t="n">
        <x:v>0</x:v>
      </x:c>
      <x:c r="W5" s="36" t="n">
        <x:v>0</x:v>
      </x:c>
      <x:c r="X5" s="36" t="n">
        <x:v>168</x:v>
      </x:c>
      <x:c r="Y5" s="36" t="n">
        <x:v>0</x:v>
      </x:c>
      <x:c r="Z5" s="38" t="n">
        <x:v>0</x:v>
      </x:c>
      <x:c r="AA5" s="36" t="n">
        <x:v>31.84</x:v>
      </x:c>
      <x:c r="AB5" s="34"/>
      <x:c r="AC5" t="str">
        <x:v>Falta de estoque</x:v>
      </x:c>
    </x:row>
    <x:row r="6">
      <x:c r="A6" s="34" t="n">
        <x:v>5</x:v>
      </x:c>
      <x:c r="B6" s="34" t="n">
        <x:v>4</x:v>
      </x:c>
      <x:c r="C6" s="32" t="n">
        <x:v>46131</x:v>
      </x:c>
      <x:c r="D6" t="str">
        <x:v>2026-04</x:v>
      </x:c>
      <x:c r="E6" s="34" t="n">
        <x:v>33</x:v>
      </x:c>
      <x:c r="F6" t="str">
        <x:v>Isabela Oliveira</x:v>
      </x:c>
      <x:c r="G6" t="str">
        <x:v>BA</x:v>
      </x:c>
      <x:c r="H6" t="str">
        <x:v>Salvador</x:v>
      </x:c>
      <x:c r="I6" s="34" t="n">
        <x:v>33</x:v>
      </x:c>
      <x:c r="J6" t="str">
        <x:v>CANCELADO</x:v>
      </x:c>
      <x:c r="K6" t="str">
        <x:v>Indicação</x:v>
      </x:c>
      <x:c r="L6" t="str">
        <x:v>Boleto</x:v>
      </x:c>
      <x:c r="M6" s="34" t="n">
        <x:v>1</x:v>
      </x:c>
      <x:c r="N6" t="str">
        <x:v>Mouse Óptico USB</x:v>
      </x:c>
      <x:c r="O6" t="str">
        <x:v>Periféricos</x:v>
      </x:c>
      <x:c r="P6" t="str">
        <x:v>TechDistribuidora Brasil</x:v>
      </x:c>
      <x:c r="Q6" s="34" t="n">
        <x:v>1</x:v>
      </x:c>
      <x:c r="R6" s="36" t="n">
        <x:v>49.9</x:v>
      </x:c>
      <x:c r="S6" s="38" t="n">
        <x:v>0</x:v>
      </x:c>
      <x:c r="T6" s="36" t="n">
        <x:v>49.9</x:v>
      </x:c>
      <x:c r="U6" s="36" t="n">
        <x:v>49.9</x:v>
      </x:c>
      <x:c r="V6" s="36" t="n">
        <x:v>0</x:v>
      </x:c>
      <x:c r="W6" s="36" t="n">
        <x:v>0</x:v>
      </x:c>
      <x:c r="X6" s="36" t="n">
        <x:v>25</x:v>
      </x:c>
      <x:c r="Y6" s="36" t="n">
        <x:v>0</x:v>
      </x:c>
      <x:c r="Z6" s="38" t="n">
        <x:v>0</x:v>
      </x:c>
      <x:c r="AA6" s="36" t="n">
        <x:v>24.96</x:v>
      </x:c>
      <x:c r="AB6" s="34"/>
      <x:c r="AC6" t="str">
        <x:v>Produto indisponível</x:v>
      </x:c>
    </x:row>
    <x:row r="7">
      <x:c r="A7" s="34" t="n">
        <x:v>6</x:v>
      </x:c>
      <x:c r="B7" s="34" t="n">
        <x:v>5</x:v>
      </x:c>
      <x:c r="C7" s="32" t="n">
        <x:v>46131</x:v>
      </x:c>
      <x:c r="D7" t="str">
        <x:v>2026-04</x:v>
      </x:c>
      <x:c r="E7" s="34" t="n">
        <x:v>23</x:v>
      </x:c>
      <x:c r="F7" t="str">
        <x:v>Matheus Silva</x:v>
      </x:c>
      <x:c r="G7" t="str">
        <x:v>RJ</x:v>
      </x:c>
      <x:c r="H7" t="str">
        <x:v>Rio de Janeiro</x:v>
      </x:c>
      <x:c r="I7" s="34" t="n">
        <x:v>21</x:v>
      </x:c>
      <x:c r="J7" t="str">
        <x:v>ENTREGUE</x:v>
      </x:c>
      <x:c r="K7" t="str">
        <x:v>Marketplace</x:v>
      </x:c>
      <x:c r="L7" t="str">
        <x:v>Pix</x:v>
      </x:c>
      <x:c r="M7" s="34" t="n">
        <x:v>19</x:v>
      </x:c>
      <x:c r="N7" t="str">
        <x:v>Monitor LED 21.5"</x:v>
      </x:c>
      <x:c r="O7" t="str">
        <x:v>Monitores</x:v>
      </x:c>
      <x:c r="P7" t="str">
        <x:v>Brasil Monitores</x:v>
      </x:c>
      <x:c r="Q7" s="34" t="n">
        <x:v>1</x:v>
      </x:c>
      <x:c r="R7" s="36" t="n">
        <x:v>679.9</x:v>
      </x:c>
      <x:c r="S7" s="38" t="n">
        <x:v>0.08</x:v>
      </x:c>
      <x:c r="T7" s="36" t="n">
        <x:v>625.51</x:v>
      </x:c>
      <x:c r="U7" s="36" t="n">
        <x:v>679.9</x:v>
      </x:c>
      <x:c r="V7" s="36" t="n">
        <x:v>54.39</x:v>
      </x:c>
      <x:c r="W7" s="36" t="n">
        <x:v>625.51</x:v>
      </x:c>
      <x:c r="X7" s="36" t="n">
        <x:v>495</x:v>
      </x:c>
      <x:c r="Y7" s="36" t="n">
        <x:v>130.51</x:v>
      </x:c>
      <x:c r="Z7" s="38" t="n">
        <x:v>0.2086</x:v>
      </x:c>
      <x:c r="AA7" s="36" t="n">
        <x:v>56.95</x:v>
      </x:c>
      <x:c r="AB7" s="34" t="n">
        <x:v>1</x:v>
      </x:c>
      <x:c r="AC7" t="str"/>
    </x:row>
    <x:row r="8">
      <x:c r="A8" s="34" t="n">
        <x:v>7</x:v>
      </x:c>
      <x:c r="B8" s="34" t="n">
        <x:v>6</x:v>
      </x:c>
      <x:c r="C8" s="32" t="n">
        <x:v>46118</x:v>
      </x:c>
      <x:c r="D8" t="str">
        <x:v>2026-04</x:v>
      </x:c>
      <x:c r="E8" s="34" t="n">
        <x:v>21</x:v>
      </x:c>
      <x:c r="F8" t="str">
        <x:v>Henrique Pereira</x:v>
      </x:c>
      <x:c r="G8" t="str">
        <x:v>RJ</x:v>
      </x:c>
      <x:c r="H8" t="str">
        <x:v>Rio de Janeiro</x:v>
      </x:c>
      <x:c r="I8" s="34" t="n">
        <x:v>52</x:v>
      </x:c>
      <x:c r="J8" t="str">
        <x:v>ENTREGUE</x:v>
      </x:c>
      <x:c r="K8" t="str">
        <x:v>Indicação</x:v>
      </x:c>
      <x:c r="L8" t="str">
        <x:v>Pix</x:v>
      </x:c>
      <x:c r="M8" s="34" t="n">
        <x:v>17</x:v>
      </x:c>
      <x:c r="N8" t="str">
        <x:v>Processador Ryzen 5</x:v>
      </x:c>
      <x:c r="O8" t="str">
        <x:v>Componentes</x:v>
      </x:c>
      <x:c r="P8" t="str">
        <x:v>FastHardware</x:v>
      </x:c>
      <x:c r="Q8" s="34" t="n">
        <x:v>1</x:v>
      </x:c>
      <x:c r="R8" s="36" t="n">
        <x:v>799.9</x:v>
      </x:c>
      <x:c r="S8" s="38" t="n">
        <x:v>0.03</x:v>
      </x:c>
      <x:c r="T8" s="36" t="n">
        <x:v>775.9</x:v>
      </x:c>
      <x:c r="U8" s="36" t="n">
        <x:v>799.9</x:v>
      </x:c>
      <x:c r="V8" s="36" t="n">
        <x:v>24</x:v>
      </x:c>
      <x:c r="W8" s="36" t="n">
        <x:v>775.9</x:v>
      </x:c>
      <x:c r="X8" s="36" t="n">
        <x:v>612</x:v>
      </x:c>
      <x:c r="Y8" s="36" t="n">
        <x:v>163.9</x:v>
      </x:c>
      <x:c r="Z8" s="38" t="n">
        <x:v>0.2112</x:v>
      </x:c>
      <x:c r="AA8" s="36" t="n">
        <x:v>47.09</x:v>
      </x:c>
      <x:c r="AB8" s="34" t="n">
        <x:v>4</x:v>
      </x:c>
      <x:c r="AC8" t="str"/>
    </x:row>
    <x:row r="9">
      <x:c r="A9" s="34" t="n">
        <x:v>8</x:v>
      </x:c>
      <x:c r="B9" s="34" t="n">
        <x:v>6</x:v>
      </x:c>
      <x:c r="C9" s="32" t="n">
        <x:v>46118</x:v>
      </x:c>
      <x:c r="D9" t="str">
        <x:v>2026-04</x:v>
      </x:c>
      <x:c r="E9" s="34" t="n">
        <x:v>21</x:v>
      </x:c>
      <x:c r="F9" t="str">
        <x:v>Henrique Pereira</x:v>
      </x:c>
      <x:c r="G9" t="str">
        <x:v>RJ</x:v>
      </x:c>
      <x:c r="H9" t="str">
        <x:v>Rio de Janeiro</x:v>
      </x:c>
      <x:c r="I9" s="34" t="n">
        <x:v>52</x:v>
      </x:c>
      <x:c r="J9" t="str">
        <x:v>ENTREGUE</x:v>
      </x:c>
      <x:c r="K9" t="str">
        <x:v>Indicação</x:v>
      </x:c>
      <x:c r="L9" t="str">
        <x:v>Pix</x:v>
      </x:c>
      <x:c r="M9" s="34" t="n">
        <x:v>25</x:v>
      </x:c>
      <x:c r="N9" t="str">
        <x:v>Roteador Wi-Fi AC1200</x:v>
      </x:c>
      <x:c r="O9" t="str">
        <x:v>Rede</x:v>
      </x:c>
      <x:c r="P9" t="str">
        <x:v>Connect Rede</x:v>
      </x:c>
      <x:c r="Q9" s="34" t="n">
        <x:v>2</x:v>
      </x:c>
      <x:c r="R9" s="36" t="n">
        <x:v>249.9</x:v>
      </x:c>
      <x:c r="S9" s="38" t="n">
        <x:v>0.08</x:v>
      </x:c>
      <x:c r="T9" s="36" t="n">
        <x:v>229.91</x:v>
      </x:c>
      <x:c r="U9" s="36" t="n">
        <x:v>499.8</x:v>
      </x:c>
      <x:c r="V9" s="36" t="n">
        <x:v>39.98</x:v>
      </x:c>
      <x:c r="W9" s="36" t="n">
        <x:v>459.82</x:v>
      </x:c>
      <x:c r="X9" s="36" t="n">
        <x:v>290</x:v>
      </x:c>
      <x:c r="Y9" s="36" t="n">
        <x:v>169.82</x:v>
      </x:c>
      <x:c r="Z9" s="38" t="n">
        <x:v>0.3693</x:v>
      </x:c>
      <x:c r="AA9" s="36" t="n">
        <x:v>47.09</x:v>
      </x:c>
      <x:c r="AB9" s="34" t="n">
        <x:v>4</x:v>
      </x:c>
      <x:c r="AC9" t="str"/>
    </x:row>
    <x:row r="10">
      <x:c r="A10" s="34" t="n">
        <x:v>9</x:v>
      </x:c>
      <x:c r="B10" s="34" t="n">
        <x:v>7</x:v>
      </x:c>
      <x:c r="C10" s="32" t="n">
        <x:v>46121</x:v>
      </x:c>
      <x:c r="D10" t="str">
        <x:v>2026-04</x:v>
      </x:c>
      <x:c r="E10" s="34" t="n">
        <x:v>34</x:v>
      </x:c>
      <x:c r="F10" t="str">
        <x:v>Vitor Martins</x:v>
      </x:c>
      <x:c r="G10" t="str">
        <x:v>RJ</x:v>
      </x:c>
      <x:c r="H10" t="str">
        <x:v>Rio de Janeiro</x:v>
      </x:c>
      <x:c r="I10" s="34" t="n">
        <x:v>60</x:v>
      </x:c>
      <x:c r="J10" t="str">
        <x:v>ENTREGUE</x:v>
      </x:c>
      <x:c r="K10" t="str">
        <x:v>Site</x:v>
      </x:c>
      <x:c r="L10" t="str">
        <x:v>Pix</x:v>
      </x:c>
      <x:c r="M10" s="34" t="n">
        <x:v>1</x:v>
      </x:c>
      <x:c r="N10" t="str">
        <x:v>Mouse Óptico USB</x:v>
      </x:c>
      <x:c r="O10" t="str">
        <x:v>Periféricos</x:v>
      </x:c>
      <x:c r="P10" t="str">
        <x:v>TechDistribuidora Brasil</x:v>
      </x:c>
      <x:c r="Q10" s="34" t="n">
        <x:v>1</x:v>
      </x:c>
      <x:c r="R10" s="36" t="n">
        <x:v>49.9</x:v>
      </x:c>
      <x:c r="S10" s="38" t="n">
        <x:v>0.05</x:v>
      </x:c>
      <x:c r="T10" s="36" t="n">
        <x:v>47.4</x:v>
      </x:c>
      <x:c r="U10" s="36" t="n">
        <x:v>49.9</x:v>
      </x:c>
      <x:c r="V10" s="36" t="n">
        <x:v>2.5</x:v>
      </x:c>
      <x:c r="W10" s="36" t="n">
        <x:v>47.4</x:v>
      </x:c>
      <x:c r="X10" s="36" t="n">
        <x:v>25</x:v>
      </x:c>
      <x:c r="Y10" s="36" t="n">
        <x:v>22.4</x:v>
      </x:c>
      <x:c r="Z10" s="38" t="n">
        <x:v>0.4726</x:v>
      </x:c>
      <x:c r="AA10" s="36" t="n">
        <x:v>22.65</x:v>
      </x:c>
      <x:c r="AB10" s="34" t="n">
        <x:v>3</x:v>
      </x:c>
      <x:c r="AC10" t="str"/>
    </x:row>
    <x:row r="11">
      <x:c r="A11" s="34" t="n">
        <x:v>10</x:v>
      </x:c>
      <x:c r="B11" s="34" t="n">
        <x:v>7</x:v>
      </x:c>
      <x:c r="C11" s="32" t="n">
        <x:v>46121</x:v>
      </x:c>
      <x:c r="D11" t="str">
        <x:v>2026-04</x:v>
      </x:c>
      <x:c r="E11" s="34" t="n">
        <x:v>34</x:v>
      </x:c>
      <x:c r="F11" t="str">
        <x:v>Vitor Martins</x:v>
      </x:c>
      <x:c r="G11" t="str">
        <x:v>RJ</x:v>
      </x:c>
      <x:c r="H11" t="str">
        <x:v>Rio de Janeiro</x:v>
      </x:c>
      <x:c r="I11" s="34" t="n">
        <x:v>60</x:v>
      </x:c>
      <x:c r="J11" t="str">
        <x:v>ENTREGUE</x:v>
      </x:c>
      <x:c r="K11" t="str">
        <x:v>Site</x:v>
      </x:c>
      <x:c r="L11" t="str">
        <x:v>Pix</x:v>
      </x:c>
      <x:c r="M11" s="34" t="n">
        <x:v>3</x:v>
      </x:c>
      <x:c r="N11" t="str">
        <x:v>Headset Gamer P2</x:v>
      </x:c>
      <x:c r="O11" t="str">
        <x:v>Periféricos</x:v>
      </x:c>
      <x:c r="P11" t="str">
        <x:v>FastHardware</x:v>
      </x:c>
      <x:c r="Q11" s="34" t="n">
        <x:v>1</x:v>
      </x:c>
      <x:c r="R11" s="36" t="n">
        <x:v>159.9</x:v>
      </x:c>
      <x:c r="S11" s="38" t="n">
        <x:v>0.1</x:v>
      </x:c>
      <x:c r="T11" s="36" t="n">
        <x:v>143.91</x:v>
      </x:c>
      <x:c r="U11" s="36" t="n">
        <x:v>159.9</x:v>
      </x:c>
      <x:c r="V11" s="36" t="n">
        <x:v>15.99</x:v>
      </x:c>
      <x:c r="W11" s="36" t="n">
        <x:v>143.91</x:v>
      </x:c>
      <x:c r="X11" s="36" t="n">
        <x:v>84</x:v>
      </x:c>
      <x:c r="Y11" s="36" t="n">
        <x:v>59.91</x:v>
      </x:c>
      <x:c r="Z11" s="38" t="n">
        <x:v>0.4163</x:v>
      </x:c>
      <x:c r="AA11" s="36" t="n">
        <x:v>22.65</x:v>
      </x:c>
      <x:c r="AB11" s="34" t="n">
        <x:v>3</x:v>
      </x:c>
      <x:c r="AC11" t="str"/>
    </x:row>
    <x:row r="12">
      <x:c r="A12" s="34" t="n">
        <x:v>11</x:v>
      </x:c>
      <x:c r="B12" s="34" t="n">
        <x:v>7</x:v>
      </x:c>
      <x:c r="C12" s="32" t="n">
        <x:v>46121</x:v>
      </x:c>
      <x:c r="D12" t="str">
        <x:v>2026-04</x:v>
      </x:c>
      <x:c r="E12" s="34" t="n">
        <x:v>34</x:v>
      </x:c>
      <x:c r="F12" t="str">
        <x:v>Vitor Martins</x:v>
      </x:c>
      <x:c r="G12" t="str">
        <x:v>RJ</x:v>
      </x:c>
      <x:c r="H12" t="str">
        <x:v>Rio de Janeiro</x:v>
      </x:c>
      <x:c r="I12" s="34" t="n">
        <x:v>60</x:v>
      </x:c>
      <x:c r="J12" t="str">
        <x:v>ENTREGUE</x:v>
      </x:c>
      <x:c r="K12" t="str">
        <x:v>Site</x:v>
      </x:c>
      <x:c r="L12" t="str">
        <x:v>Pix</x:v>
      </x:c>
      <x:c r="M12" s="34" t="n">
        <x:v>27</x:v>
      </x:c>
      <x:c r="N12" t="str">
        <x:v>Placa de Rede PCIe</x:v>
      </x:c>
      <x:c r="O12" t="str">
        <x:v>Rede</x:v>
      </x:c>
      <x:c r="P12" t="str">
        <x:v>Connect Rede</x:v>
      </x:c>
      <x:c r="Q12" s="34" t="n">
        <x:v>1</x:v>
      </x:c>
      <x:c r="R12" s="36" t="n">
        <x:v>79.9</x:v>
      </x:c>
      <x:c r="S12" s="38" t="n">
        <x:v>0.08</x:v>
      </x:c>
      <x:c r="T12" s="36" t="n">
        <x:v>73.51</x:v>
      </x:c>
      <x:c r="U12" s="36" t="n">
        <x:v>79.9</x:v>
      </x:c>
      <x:c r="V12" s="36" t="n">
        <x:v>6.39</x:v>
      </x:c>
      <x:c r="W12" s="36" t="n">
        <x:v>73.51</x:v>
      </x:c>
      <x:c r="X12" s="36" t="n">
        <x:v>37</x:v>
      </x:c>
      <x:c r="Y12" s="36" t="n">
        <x:v>36.51</x:v>
      </x:c>
      <x:c r="Z12" s="38" t="n">
        <x:v>0.4967</x:v>
      </x:c>
      <x:c r="AA12" s="36" t="n">
        <x:v>22.65</x:v>
      </x:c>
      <x:c r="AB12" s="34" t="n">
        <x:v>3</x:v>
      </x:c>
      <x:c r="AC12" t="str"/>
    </x:row>
    <x:row r="13">
      <x:c r="A13" s="34" t="n">
        <x:v>12</x:v>
      </x:c>
      <x:c r="B13" s="34" t="n">
        <x:v>8</x:v>
      </x:c>
      <x:c r="C13" s="32" t="n">
        <x:v>46108</x:v>
      </x:c>
      <x:c r="D13" t="str">
        <x:v>2026-03</x:v>
      </x:c>
      <x:c r="E13" s="34" t="n">
        <x:v>35</x:v>
      </x:c>
      <x:c r="F13" t="str">
        <x:v>Sofia Santos</x:v>
      </x:c>
      <x:c r="G13" t="str">
        <x:v>PR</x:v>
      </x:c>
      <x:c r="H13" t="str">
        <x:v>Londrina</x:v>
      </x:c>
      <x:c r="I13" s="34" t="n">
        <x:v>35</x:v>
      </x:c>
      <x:c r="J13" t="str">
        <x:v>ENTREGUE</x:v>
      </x:c>
      <x:c r="K13" t="str">
        <x:v>Marketplace</x:v>
      </x:c>
      <x:c r="L13" t="str">
        <x:v>Cartão crédito</x:v>
      </x:c>
      <x:c r="M13" s="34" t="n">
        <x:v>1</x:v>
      </x:c>
      <x:c r="N13" t="str">
        <x:v>Mouse Óptico USB</x:v>
      </x:c>
      <x:c r="O13" t="str">
        <x:v>Periféricos</x:v>
      </x:c>
      <x:c r="P13" t="str">
        <x:v>TechDistribuidora Brasil</x:v>
      </x:c>
      <x:c r="Q13" s="34" t="n">
        <x:v>1</x:v>
      </x:c>
      <x:c r="R13" s="36" t="n">
        <x:v>49.9</x:v>
      </x:c>
      <x:c r="S13" s="38" t="n">
        <x:v>0.03</x:v>
      </x:c>
      <x:c r="T13" s="36" t="n">
        <x:v>48.4</x:v>
      </x:c>
      <x:c r="U13" s="36" t="n">
        <x:v>49.9</x:v>
      </x:c>
      <x:c r="V13" s="36" t="n">
        <x:v>1.5</x:v>
      </x:c>
      <x:c r="W13" s="36" t="n">
        <x:v>48.4</x:v>
      </x:c>
      <x:c r="X13" s="36" t="n">
        <x:v>25</x:v>
      </x:c>
      <x:c r="Y13" s="36" t="n">
        <x:v>23.4</x:v>
      </x:c>
      <x:c r="Z13" s="38" t="n">
        <x:v>0.4835</x:v>
      </x:c>
      <x:c r="AA13" s="36" t="n">
        <x:v>53.54</x:v>
      </x:c>
      <x:c r="AB13" s="34" t="n">
        <x:v>4</x:v>
      </x:c>
      <x:c r="AC13" t="str"/>
    </x:row>
    <x:row r="14">
      <x:c r="A14" s="34" t="n">
        <x:v>13</x:v>
      </x:c>
      <x:c r="B14" s="34" t="n">
        <x:v>9</x:v>
      </x:c>
      <x:c r="C14" s="32" t="n">
        <x:v>46086</x:v>
      </x:c>
      <x:c r="D14" t="str">
        <x:v>2026-03</x:v>
      </x:c>
      <x:c r="E14" s="34" t="n">
        <x:v>29</x:v>
      </x:c>
      <x:c r="F14" t="str">
        <x:v>Thiago Carvalho</x:v>
      </x:c>
      <x:c r="G14" t="str">
        <x:v>SP</x:v>
      </x:c>
      <x:c r="H14" t="str">
        <x:v>São José do Rio Preto</x:v>
      </x:c>
      <x:c r="I14" s="34" t="n">
        <x:v>50</x:v>
      </x:c>
      <x:c r="J14" t="str">
        <x:v>ENTREGUE</x:v>
      </x:c>
      <x:c r="K14" t="str">
        <x:v>Site</x:v>
      </x:c>
      <x:c r="L14" t="str">
        <x:v>Cartão crédito</x:v>
      </x:c>
      <x:c r="M14" s="34" t="n">
        <x:v>5</x:v>
      </x:c>
      <x:c r="N14" t="str">
        <x:v>Mousepad Grande</x:v>
      </x:c>
      <x:c r="O14" t="str">
        <x:v>Acessórios</x:v>
      </x:c>
      <x:c r="P14" t="str">
        <x:v>Prime Eletrônicos</x:v>
      </x:c>
      <x:c r="Q14" s="34" t="n">
        <x:v>1</x:v>
      </x:c>
      <x:c r="R14" s="36" t="n">
        <x:v>39.9</x:v>
      </x:c>
      <x:c r="S14" s="38" t="n">
        <x:v>0</x:v>
      </x:c>
      <x:c r="T14" s="36" t="n">
        <x:v>39.9</x:v>
      </x:c>
      <x:c r="U14" s="36" t="n">
        <x:v>39.9</x:v>
      </x:c>
      <x:c r="V14" s="36" t="n">
        <x:v>0</x:v>
      </x:c>
      <x:c r="W14" s="36" t="n">
        <x:v>39.9</x:v>
      </x:c>
      <x:c r="X14" s="36" t="n">
        <x:v>17</x:v>
      </x:c>
      <x:c r="Y14" s="36" t="n">
        <x:v>22.9</x:v>
      </x:c>
      <x:c r="Z14" s="38" t="n">
        <x:v>0.5739</x:v>
      </x:c>
      <x:c r="AA14" s="36" t="n">
        <x:v>43.5</x:v>
      </x:c>
      <x:c r="AB14" s="34" t="n">
        <x:v>5</x:v>
      </x:c>
      <x:c r="AC14" t="str"/>
    </x:row>
    <x:row r="15">
      <x:c r="A15" s="34" t="n">
        <x:v>14</x:v>
      </x:c>
      <x:c r="B15" s="34" t="n">
        <x:v>10</x:v>
      </x:c>
      <x:c r="C15" s="32" t="n">
        <x:v>46059</x:v>
      </x:c>
      <x:c r="D15" t="str">
        <x:v>2026-02</x:v>
      </x:c>
      <x:c r="E15" s="34" t="n">
        <x:v>12</x:v>
      </x:c>
      <x:c r="F15" t="str">
        <x:v>Renan Silva</x:v>
      </x:c>
      <x:c r="G15" t="str">
        <x:v>RJ</x:v>
      </x:c>
      <x:c r="H15" t="str">
        <x:v>Rio de Janeiro</x:v>
      </x:c>
      <x:c r="I15" s="34" t="n">
        <x:v>61</x:v>
      </x:c>
      <x:c r="J15" t="str">
        <x:v>ENTREGUE</x:v>
      </x:c>
      <x:c r="K15" t="str">
        <x:v>WhatsApp</x:v>
      </x:c>
      <x:c r="L15" t="str">
        <x:v>Pix</x:v>
      </x:c>
      <x:c r="M15" s="34" t="n">
        <x:v>2</x:v>
      </x:c>
      <x:c r="N15" t="str">
        <x:v>Teclado Membrana ABNT2</x:v>
      </x:c>
      <x:c r="O15" t="str">
        <x:v>Periféricos</x:v>
      </x:c>
      <x:c r="P15" t="str">
        <x:v>TechDistribuidora Brasil</x:v>
      </x:c>
      <x:c r="Q15" s="34" t="n">
        <x:v>1</x:v>
      </x:c>
      <x:c r="R15" s="36" t="n">
        <x:v>89.9</x:v>
      </x:c>
      <x:c r="S15" s="38" t="n">
        <x:v>0</x:v>
      </x:c>
      <x:c r="T15" s="36" t="n">
        <x:v>89.9</x:v>
      </x:c>
      <x:c r="U15" s="36" t="n">
        <x:v>89.9</x:v>
      </x:c>
      <x:c r="V15" s="36" t="n">
        <x:v>0</x:v>
      </x:c>
      <x:c r="W15" s="36" t="n">
        <x:v>89.9</x:v>
      </x:c>
      <x:c r="X15" s="36" t="n">
        <x:v>48</x:v>
      </x:c>
      <x:c r="Y15" s="36" t="n">
        <x:v>41.9</x:v>
      </x:c>
      <x:c r="Z15" s="38" t="n">
        <x:v>0.4661</x:v>
      </x:c>
      <x:c r="AA15" s="36" t="n">
        <x:v>33.65</x:v>
      </x:c>
      <x:c r="AB15" s="34" t="n">
        <x:v>9</x:v>
      </x:c>
      <x:c r="AC15" t="str"/>
    </x:row>
    <x:row r="16">
      <x:c r="A16" s="34" t="n">
        <x:v>15</x:v>
      </x:c>
      <x:c r="B16" s="34" t="n">
        <x:v>11</x:v>
      </x:c>
      <x:c r="C16" s="32" t="n">
        <x:v>46125</x:v>
      </x:c>
      <x:c r="D16" t="str">
        <x:v>2026-04</x:v>
      </x:c>
      <x:c r="E16" s="34" t="n">
        <x:v>1</x:v>
      </x:c>
      <x:c r="F16" t="str">
        <x:v>Nicolas Souza</x:v>
      </x:c>
      <x:c r="G16" t="str">
        <x:v>SP</x:v>
      </x:c>
      <x:c r="H16" t="str">
        <x:v>Mirassol</x:v>
      </x:c>
      <x:c r="I16" s="34" t="n">
        <x:v>18</x:v>
      </x:c>
      <x:c r="J16" t="str">
        <x:v>ENTREGUE</x:v>
      </x:c>
      <x:c r="K16" t="str">
        <x:v>Site</x:v>
      </x:c>
      <x:c r="L16" t="str">
        <x:v>Cartão crédito</x:v>
      </x:c>
      <x:c r="M16" s="34" t="n">
        <x:v>8</x:v>
      </x:c>
      <x:c r="N16" t="str">
        <x:v>Suporte Articulado para Monitor</x:v>
      </x:c>
      <x:c r="O16" t="str">
        <x:v>Acessórios</x:v>
      </x:c>
      <x:c r="P16" t="str">
        <x:v>OfficeTech Supply</x:v>
      </x:c>
      <x:c r="Q16" s="34" t="n">
        <x:v>1</x:v>
      </x:c>
      <x:c r="R16" s="36" t="n">
        <x:v>149.9</x:v>
      </x:c>
      <x:c r="S16" s="38" t="n">
        <x:v>0.12</x:v>
      </x:c>
      <x:c r="T16" s="36" t="n">
        <x:v>131.91</x:v>
      </x:c>
      <x:c r="U16" s="36" t="n">
        <x:v>149.9</x:v>
      </x:c>
      <x:c r="V16" s="36" t="n">
        <x:v>17.99</x:v>
      </x:c>
      <x:c r="W16" s="36" t="n">
        <x:v>131.91</x:v>
      </x:c>
      <x:c r="X16" s="36" t="n">
        <x:v>73</x:v>
      </x:c>
      <x:c r="Y16" s="36" t="n">
        <x:v>58.91</x:v>
      </x:c>
      <x:c r="Z16" s="38" t="n">
        <x:v>0.4466</x:v>
      </x:c>
      <x:c r="AA16" s="36" t="n">
        <x:v>51.34</x:v>
      </x:c>
      <x:c r="AB16" s="34" t="n">
        <x:v>4</x:v>
      </x:c>
      <x:c r="AC16" t="str"/>
    </x:row>
    <x:row r="17">
      <x:c r="A17" s="34" t="n">
        <x:v>16</x:v>
      </x:c>
      <x:c r="B17" s="34" t="n">
        <x:v>11</x:v>
      </x:c>
      <x:c r="C17" s="32" t="n">
        <x:v>46125</x:v>
      </x:c>
      <x:c r="D17" t="str">
        <x:v>2026-04</x:v>
      </x:c>
      <x:c r="E17" s="34" t="n">
        <x:v>1</x:v>
      </x:c>
      <x:c r="F17" t="str">
        <x:v>Nicolas Souza</x:v>
      </x:c>
      <x:c r="G17" t="str">
        <x:v>SP</x:v>
      </x:c>
      <x:c r="H17" t="str">
        <x:v>Mirassol</x:v>
      </x:c>
      <x:c r="I17" s="34" t="n">
        <x:v>18</x:v>
      </x:c>
      <x:c r="J17" t="str">
        <x:v>ENTREGUE</x:v>
      </x:c>
      <x:c r="K17" t="str">
        <x:v>Site</x:v>
      </x:c>
      <x:c r="L17" t="str">
        <x:v>Cartão crédito</x:v>
      </x:c>
      <x:c r="M17" s="34" t="n">
        <x:v>5</x:v>
      </x:c>
      <x:c r="N17" t="str">
        <x:v>Mousepad Grande</x:v>
      </x:c>
      <x:c r="O17" t="str">
        <x:v>Acessórios</x:v>
      </x:c>
      <x:c r="P17" t="str">
        <x:v>Prime Eletrônicos</x:v>
      </x:c>
      <x:c r="Q17" s="34" t="n">
        <x:v>4</x:v>
      </x:c>
      <x:c r="R17" s="36" t="n">
        <x:v>39.9</x:v>
      </x:c>
      <x:c r="S17" s="38" t="n">
        <x:v>0</x:v>
      </x:c>
      <x:c r="T17" s="36" t="n">
        <x:v>39.9</x:v>
      </x:c>
      <x:c r="U17" s="36" t="n">
        <x:v>159.6</x:v>
      </x:c>
      <x:c r="V17" s="36" t="n">
        <x:v>0</x:v>
      </x:c>
      <x:c r="W17" s="36" t="n">
        <x:v>159.6</x:v>
      </x:c>
      <x:c r="X17" s="36" t="n">
        <x:v>68</x:v>
      </x:c>
      <x:c r="Y17" s="36" t="n">
        <x:v>91.6</x:v>
      </x:c>
      <x:c r="Z17" s="38" t="n">
        <x:v>0.5739</x:v>
      </x:c>
      <x:c r="AA17" s="36" t="n">
        <x:v>51.34</x:v>
      </x:c>
      <x:c r="AB17" s="34" t="n">
        <x:v>4</x:v>
      </x:c>
      <x:c r="AC17" t="str"/>
    </x:row>
    <x:row r="18">
      <x:c r="A18" s="34" t="n">
        <x:v>17</x:v>
      </x:c>
      <x:c r="B18" s="34" t="n">
        <x:v>11</x:v>
      </x:c>
      <x:c r="C18" s="32" t="n">
        <x:v>46125</x:v>
      </x:c>
      <x:c r="D18" t="str">
        <x:v>2026-04</x:v>
      </x:c>
      <x:c r="E18" s="34" t="n">
        <x:v>1</x:v>
      </x:c>
      <x:c r="F18" t="str">
        <x:v>Nicolas Souza</x:v>
      </x:c>
      <x:c r="G18" t="str">
        <x:v>SP</x:v>
      </x:c>
      <x:c r="H18" t="str">
        <x:v>Mirassol</x:v>
      </x:c>
      <x:c r="I18" s="34" t="n">
        <x:v>18</x:v>
      </x:c>
      <x:c r="J18" t="str">
        <x:v>ENTREGUE</x:v>
      </x:c>
      <x:c r="K18" t="str">
        <x:v>Site</x:v>
      </x:c>
      <x:c r="L18" t="str">
        <x:v>Cartão crédito</x:v>
      </x:c>
      <x:c r="M18" s="34" t="n">
        <x:v>10</x:v>
      </x:c>
      <x:c r="N18" t="str">
        <x:v>SSD 480GB SATA</x:v>
      </x:c>
      <x:c r="O18" t="str">
        <x:v>Armazenamento</x:v>
      </x:c>
      <x:c r="P18" t="str">
        <x:v>Mega Componentes</x:v>
      </x:c>
      <x:c r="Q18" s="34" t="n">
        <x:v>1</x:v>
      </x:c>
      <x:c r="R18" s="36" t="n">
        <x:v>259.9</x:v>
      </x:c>
      <x:c r="S18" s="38" t="n">
        <x:v>0</x:v>
      </x:c>
      <x:c r="T18" s="36" t="n">
        <x:v>259.9</x:v>
      </x:c>
      <x:c r="U18" s="36" t="n">
        <x:v>259.9</x:v>
      </x:c>
      <x:c r="V18" s="36" t="n">
        <x:v>0</x:v>
      </x:c>
      <x:c r="W18" s="36" t="n">
        <x:v>259.9</x:v>
      </x:c>
      <x:c r="X18" s="36" t="n">
        <x:v>158</x:v>
      </x:c>
      <x:c r="Y18" s="36" t="n">
        <x:v>101.9</x:v>
      </x:c>
      <x:c r="Z18" s="38" t="n">
        <x:v>0.3921</x:v>
      </x:c>
      <x:c r="AA18" s="36" t="n">
        <x:v>51.34</x:v>
      </x:c>
      <x:c r="AB18" s="34" t="n">
        <x:v>4</x:v>
      </x:c>
      <x:c r="AC18" t="str"/>
    </x:row>
    <x:row r="19">
      <x:c r="A19" s="34" t="n">
        <x:v>18</x:v>
      </x:c>
      <x:c r="B19" s="34" t="n">
        <x:v>12</x:v>
      </x:c>
      <x:c r="C19" s="32" t="n">
        <x:v>46178</x:v>
      </x:c>
      <x:c r="D19" t="str">
        <x:v>2026-06</x:v>
      </x:c>
      <x:c r="E19" s="34" t="n">
        <x:v>45</x:v>
      </x:c>
      <x:c r="F19" t="str">
        <x:v>Nicolas Costa</x:v>
      </x:c>
      <x:c r="G19" t="str">
        <x:v>PR</x:v>
      </x:c>
      <x:c r="H19" t="str">
        <x:v>Maringá</x:v>
      </x:c>
      <x:c r="I19" s="34" t="n">
        <x:v>45</x:v>
      </x:c>
      <x:c r="J19" t="str">
        <x:v>ENVIADO</x:v>
      </x:c>
      <x:c r="K19" t="str">
        <x:v>Site</x:v>
      </x:c>
      <x:c r="L19" t="str">
        <x:v>Cartão crédito</x:v>
      </x:c>
      <x:c r="M19" s="34" t="n">
        <x:v>28</x:v>
      </x:c>
      <x:c r="N19" t="str">
        <x:v>Repetidor Wi-Fi</x:v>
      </x:c>
      <x:c r="O19" t="str">
        <x:v>Rede</x:v>
      </x:c>
      <x:c r="P19" t="str">
        <x:v>Connect Rede</x:v>
      </x:c>
      <x:c r="Q19" s="34" t="n">
        <x:v>1</x:v>
      </x:c>
      <x:c r="R19" s="36" t="n">
        <x:v>139.9</x:v>
      </x:c>
      <x:c r="S19" s="38" t="n">
        <x:v>0.03</x:v>
      </x:c>
      <x:c r="T19" s="36" t="n">
        <x:v>135.7</x:v>
      </x:c>
      <x:c r="U19" s="36" t="n">
        <x:v>139.9</x:v>
      </x:c>
      <x:c r="V19" s="36" t="n">
        <x:v>4.2</x:v>
      </x:c>
      <x:c r="W19" s="36" t="n">
        <x:v>135.7</x:v>
      </x:c>
      <x:c r="X19" s="36" t="n">
        <x:v>69</x:v>
      </x:c>
      <x:c r="Y19" s="36" t="n">
        <x:v>66.7</x:v>
      </x:c>
      <x:c r="Z19" s="38" t="n">
        <x:v>0.4915</x:v>
      </x:c>
      <x:c r="AA19" s="36" t="n">
        <x:v>13.89</x:v>
      </x:c>
      <x:c r="AB19" s="34" t="n">
        <x:v>1</x:v>
      </x:c>
      <x:c r="AC19" t="str"/>
    </x:row>
    <x:row r="20">
      <x:c r="A20" s="34" t="n">
        <x:v>19</x:v>
      </x:c>
      <x:c r="B20" s="34" t="n">
        <x:v>13</x:v>
      </x:c>
      <x:c r="C20" s="32" t="n">
        <x:v>46164</x:v>
      </x:c>
      <x:c r="D20" t="str">
        <x:v>2026-05</x:v>
      </x:c>
      <x:c r="E20" s="34" t="n">
        <x:v>58</x:v>
      </x:c>
      <x:c r="F20" t="str">
        <x:v>João Souza</x:v>
      </x:c>
      <x:c r="G20" t="str">
        <x:v>SP</x:v>
      </x:c>
      <x:c r="H20" t="str">
        <x:v>Mirassol</x:v>
      </x:c>
      <x:c r="I20" s="34" t="n">
        <x:v>52</x:v>
      </x:c>
      <x:c r="J20" t="str">
        <x:v>ENTREGUE</x:v>
      </x:c>
      <x:c r="K20" t="str">
        <x:v>Instagram</x:v>
      </x:c>
      <x:c r="L20" t="str">
        <x:v>Pix</x:v>
      </x:c>
      <x:c r="M20" s="34" t="n">
        <x:v>20</x:v>
      </x:c>
      <x:c r="N20" t="str">
        <x:v>Monitor IPS 24"</x:v>
      </x:c>
      <x:c r="O20" t="str">
        <x:v>Monitores</x:v>
      </x:c>
      <x:c r="P20" t="str">
        <x:v>Brasil Monitores</x:v>
      </x:c>
      <x:c r="Q20" s="34" t="n">
        <x:v>1</x:v>
      </x:c>
      <x:c r="R20" s="36" t="n">
        <x:v>899.9</x:v>
      </x:c>
      <x:c r="S20" s="38" t="n">
        <x:v>0.03</x:v>
      </x:c>
      <x:c r="T20" s="36" t="n">
        <x:v>872.9</x:v>
      </x:c>
      <x:c r="U20" s="36" t="n">
        <x:v>899.9</x:v>
      </x:c>
      <x:c r="V20" s="36" t="n">
        <x:v>27</x:v>
      </x:c>
      <x:c r="W20" s="36" t="n">
        <x:v>872.9</x:v>
      </x:c>
      <x:c r="X20" s="36" t="n">
        <x:v>665</x:v>
      </x:c>
      <x:c r="Y20" s="36" t="n">
        <x:v>207.9</x:v>
      </x:c>
      <x:c r="Z20" s="38" t="n">
        <x:v>0.2382</x:v>
      </x:c>
      <x:c r="AA20" s="36" t="n">
        <x:v>34.15</x:v>
      </x:c>
      <x:c r="AB20" s="34" t="n">
        <x:v>1</x:v>
      </x:c>
      <x:c r="AC20" t="str"/>
    </x:row>
    <x:row r="21">
      <x:c r="A21" s="34" t="n">
        <x:v>20</x:v>
      </x:c>
      <x:c r="B21" s="34" t="n">
        <x:v>13</x:v>
      </x:c>
      <x:c r="C21" s="32" t="n">
        <x:v>46164</x:v>
      </x:c>
      <x:c r="D21" t="str">
        <x:v>2026-05</x:v>
      </x:c>
      <x:c r="E21" s="34" t="n">
        <x:v>58</x:v>
      </x:c>
      <x:c r="F21" t="str">
        <x:v>João Souza</x:v>
      </x:c>
      <x:c r="G21" t="str">
        <x:v>SP</x:v>
      </x:c>
      <x:c r="H21" t="str">
        <x:v>Mirassol</x:v>
      </x:c>
      <x:c r="I21" s="34" t="n">
        <x:v>52</x:v>
      </x:c>
      <x:c r="J21" t="str">
        <x:v>ENTREGUE</x:v>
      </x:c>
      <x:c r="K21" t="str">
        <x:v>Instagram</x:v>
      </x:c>
      <x:c r="L21" t="str">
        <x:v>Pix</x:v>
      </x:c>
      <x:c r="M21" s="34" t="n">
        <x:v>5</x:v>
      </x:c>
      <x:c r="N21" t="str">
        <x:v>Mousepad Grande</x:v>
      </x:c>
      <x:c r="O21" t="str">
        <x:v>Acessórios</x:v>
      </x:c>
      <x:c r="P21" t="str">
        <x:v>Prime Eletrônicos</x:v>
      </x:c>
      <x:c r="Q21" s="34" t="n">
        <x:v>1</x:v>
      </x:c>
      <x:c r="R21" s="36" t="n">
        <x:v>39.9</x:v>
      </x:c>
      <x:c r="S21" s="38" t="n">
        <x:v>0.05</x:v>
      </x:c>
      <x:c r="T21" s="36" t="n">
        <x:v>37.9</x:v>
      </x:c>
      <x:c r="U21" s="36" t="n">
        <x:v>39.9</x:v>
      </x:c>
      <x:c r="V21" s="36" t="n">
        <x:v>2</x:v>
      </x:c>
      <x:c r="W21" s="36" t="n">
        <x:v>37.9</x:v>
      </x:c>
      <x:c r="X21" s="36" t="n">
        <x:v>17</x:v>
      </x:c>
      <x:c r="Y21" s="36" t="n">
        <x:v>20.9</x:v>
      </x:c>
      <x:c r="Z21" s="38" t="n">
        <x:v>0.5515</x:v>
      </x:c>
      <x:c r="AA21" s="36" t="n">
        <x:v>34.15</x:v>
      </x:c>
      <x:c r="AB21" s="34" t="n">
        <x:v>1</x:v>
      </x:c>
      <x:c r="AC21" t="str"/>
    </x:row>
    <x:row r="22">
      <x:c r="A22" s="34" t="n">
        <x:v>21</x:v>
      </x:c>
      <x:c r="B22" s="34" t="n">
        <x:v>13</x:v>
      </x:c>
      <x:c r="C22" s="32" t="n">
        <x:v>46164</x:v>
      </x:c>
      <x:c r="D22" t="str">
        <x:v>2026-05</x:v>
      </x:c>
      <x:c r="E22" s="34" t="n">
        <x:v>58</x:v>
      </x:c>
      <x:c r="F22" t="str">
        <x:v>João Souza</x:v>
      </x:c>
      <x:c r="G22" t="str">
        <x:v>SP</x:v>
      </x:c>
      <x:c r="H22" t="str">
        <x:v>Mirassol</x:v>
      </x:c>
      <x:c r="I22" s="34" t="n">
        <x:v>52</x:v>
      </x:c>
      <x:c r="J22" t="str">
        <x:v>ENTREGUE</x:v>
      </x:c>
      <x:c r="K22" t="str">
        <x:v>Instagram</x:v>
      </x:c>
      <x:c r="L22" t="str">
        <x:v>Pix</x:v>
      </x:c>
      <x:c r="M22" s="34" t="n">
        <x:v>25</x:v>
      </x:c>
      <x:c r="N22" t="str">
        <x:v>Roteador Wi-Fi AC1200</x:v>
      </x:c>
      <x:c r="O22" t="str">
        <x:v>Rede</x:v>
      </x:c>
      <x:c r="P22" t="str">
        <x:v>Connect Rede</x:v>
      </x:c>
      <x:c r="Q22" s="34" t="n">
        <x:v>1</x:v>
      </x:c>
      <x:c r="R22" s="36" t="n">
        <x:v>249.9</x:v>
      </x:c>
      <x:c r="S22" s="38" t="n">
        <x:v>0</x:v>
      </x:c>
      <x:c r="T22" s="36" t="n">
        <x:v>249.9</x:v>
      </x:c>
      <x:c r="U22" s="36" t="n">
        <x:v>249.9</x:v>
      </x:c>
      <x:c r="V22" s="36" t="n">
        <x:v>0</x:v>
      </x:c>
      <x:c r="W22" s="36" t="n">
        <x:v>249.9</x:v>
      </x:c>
      <x:c r="X22" s="36" t="n">
        <x:v>145</x:v>
      </x:c>
      <x:c r="Y22" s="36" t="n">
        <x:v>104.9</x:v>
      </x:c>
      <x:c r="Z22" s="38" t="n">
        <x:v>0.4198</x:v>
      </x:c>
      <x:c r="AA22" s="36" t="n">
        <x:v>34.15</x:v>
      </x:c>
      <x:c r="AB22" s="34" t="n">
        <x:v>1</x:v>
      </x:c>
      <x:c r="AC22" t="str"/>
    </x:row>
    <x:row r="23">
      <x:c r="A23" s="34" t="n">
        <x:v>22</x:v>
      </x:c>
      <x:c r="B23" s="34" t="n">
        <x:v>14</x:v>
      </x:c>
      <x:c r="C23" s="32" t="n">
        <x:v>46124</x:v>
      </x:c>
      <x:c r="D23" t="str">
        <x:v>2026-04</x:v>
      </x:c>
      <x:c r="E23" s="34" t="n">
        <x:v>59</x:v>
      </x:c>
      <x:c r="F23" t="str">
        <x:v>Letícia Souza</x:v>
      </x:c>
      <x:c r="G23" t="str">
        <x:v>SP</x:v>
      </x:c>
      <x:c r="H23" t="str">
        <x:v>Votuporanga</x:v>
      </x:c>
      <x:c r="I23" s="34" t="n">
        <x:v>39</x:v>
      </x:c>
      <x:c r="J23" t="str">
        <x:v>ENVIADO</x:v>
      </x:c>
      <x:c r="K23" t="str">
        <x:v>Site</x:v>
      </x:c>
      <x:c r="L23" t="str">
        <x:v>Cartão crédito</x:v>
      </x:c>
      <x:c r="M23" s="34" t="n">
        <x:v>18</x:v>
      </x:c>
      <x:c r="N23" t="str">
        <x:v>Cooler para Processador</x:v>
      </x:c>
      <x:c r="O23" t="str">
        <x:v>Componentes</x:v>
      </x:c>
      <x:c r="P23" t="str">
        <x:v>Mega Componentes</x:v>
      </x:c>
      <x:c r="Q23" s="34" t="n">
        <x:v>2</x:v>
      </x:c>
      <x:c r="R23" s="36" t="n">
        <x:v>99.9</x:v>
      </x:c>
      <x:c r="S23" s="38" t="n">
        <x:v>0.08</x:v>
      </x:c>
      <x:c r="T23" s="36" t="n">
        <x:v>91.91</x:v>
      </x:c>
      <x:c r="U23" s="36" t="n">
        <x:v>199.8</x:v>
      </x:c>
      <x:c r="V23" s="36" t="n">
        <x:v>15.98</x:v>
      </x:c>
      <x:c r="W23" s="36" t="n">
        <x:v>183.82</x:v>
      </x:c>
      <x:c r="X23" s="36" t="n">
        <x:v>92</x:v>
      </x:c>
      <x:c r="Y23" s="36" t="n">
        <x:v>91.82</x:v>
      </x:c>
      <x:c r="Z23" s="38" t="n">
        <x:v>0.4995</x:v>
      </x:c>
      <x:c r="AA23" s="36" t="n">
        <x:v>12</x:v>
      </x:c>
      <x:c r="AB23" s="34" t="n">
        <x:v>1</x:v>
      </x:c>
      <x:c r="AC23" t="str"/>
    </x:row>
    <x:row r="24">
      <x:c r="A24" s="34" t="n">
        <x:v>23</x:v>
      </x:c>
      <x:c r="B24" s="34" t="n">
        <x:v>15</x:v>
      </x:c>
      <x:c r="C24" s="32" t="n">
        <x:v>46105</x:v>
      </x:c>
      <x:c r="D24" t="str">
        <x:v>2026-03</x:v>
      </x:c>
      <x:c r="E24" s="34" t="n">
        <x:v>53</x:v>
      </x:c>
      <x:c r="F24" t="str">
        <x:v>Carla Almeida</x:v>
      </x:c>
      <x:c r="G24" t="str">
        <x:v>SP</x:v>
      </x:c>
      <x:c r="H24" t="str">
        <x:v>Ribeirão Preto</x:v>
      </x:c>
      <x:c r="I24" s="34" t="n">
        <x:v>54</x:v>
      </x:c>
      <x:c r="J24" t="str">
        <x:v>ENTREGUE</x:v>
      </x:c>
      <x:c r="K24" t="str">
        <x:v>Instagram</x:v>
      </x:c>
      <x:c r="L24" t="str">
        <x:v>Cartão débito</x:v>
      </x:c>
      <x:c r="M24" s="34" t="n">
        <x:v>28</x:v>
      </x:c>
      <x:c r="N24" t="str">
        <x:v>Repetidor Wi-Fi</x:v>
      </x:c>
      <x:c r="O24" t="str">
        <x:v>Rede</x:v>
      </x:c>
      <x:c r="P24" t="str">
        <x:v>Connect Rede</x:v>
      </x:c>
      <x:c r="Q24" s="34" t="n">
        <x:v>1</x:v>
      </x:c>
      <x:c r="R24" s="36" t="n">
        <x:v>139.9</x:v>
      </x:c>
      <x:c r="S24" s="38" t="n">
        <x:v>0</x:v>
      </x:c>
      <x:c r="T24" s="36" t="n">
        <x:v>139.9</x:v>
      </x:c>
      <x:c r="U24" s="36" t="n">
        <x:v>139.9</x:v>
      </x:c>
      <x:c r="V24" s="36" t="n">
        <x:v>0</x:v>
      </x:c>
      <x:c r="W24" s="36" t="n">
        <x:v>139.9</x:v>
      </x:c>
      <x:c r="X24" s="36" t="n">
        <x:v>69</x:v>
      </x:c>
      <x:c r="Y24" s="36" t="n">
        <x:v>70.9</x:v>
      </x:c>
      <x:c r="Z24" s="38" t="n">
        <x:v>0.5068</x:v>
      </x:c>
      <x:c r="AA24" s="36" t="n">
        <x:v>26.02</x:v>
      </x:c>
      <x:c r="AB24" s="34" t="n">
        <x:v>3</x:v>
      </x:c>
      <x:c r="AC24" t="str"/>
    </x:row>
    <x:row r="25">
      <x:c r="A25" s="34" t="n">
        <x:v>24</x:v>
      </x:c>
      <x:c r="B25" s="34" t="n">
        <x:v>15</x:v>
      </x:c>
      <x:c r="C25" s="32" t="n">
        <x:v>46105</x:v>
      </x:c>
      <x:c r="D25" t="str">
        <x:v>2026-03</x:v>
      </x:c>
      <x:c r="E25" s="34" t="n">
        <x:v>53</x:v>
      </x:c>
      <x:c r="F25" t="str">
        <x:v>Carla Almeida</x:v>
      </x:c>
      <x:c r="G25" t="str">
        <x:v>SP</x:v>
      </x:c>
      <x:c r="H25" t="str">
        <x:v>Ribeirão Preto</x:v>
      </x:c>
      <x:c r="I25" s="34" t="n">
        <x:v>54</x:v>
      </x:c>
      <x:c r="J25" t="str">
        <x:v>ENTREGUE</x:v>
      </x:c>
      <x:c r="K25" t="str">
        <x:v>Instagram</x:v>
      </x:c>
      <x:c r="L25" t="str">
        <x:v>Cartão débito</x:v>
      </x:c>
      <x:c r="M25" s="34" t="n">
        <x:v>5</x:v>
      </x:c>
      <x:c r="N25" t="str">
        <x:v>Mousepad Grande</x:v>
      </x:c>
      <x:c r="O25" t="str">
        <x:v>Acessórios</x:v>
      </x:c>
      <x:c r="P25" t="str">
        <x:v>Prime Eletrônicos</x:v>
      </x:c>
      <x:c r="Q25" s="34" t="n">
        <x:v>1</x:v>
      </x:c>
      <x:c r="R25" s="36" t="n">
        <x:v>39.9</x:v>
      </x:c>
      <x:c r="S25" s="38" t="n">
        <x:v>0</x:v>
      </x:c>
      <x:c r="T25" s="36" t="n">
        <x:v>39.9</x:v>
      </x:c>
      <x:c r="U25" s="36" t="n">
        <x:v>39.9</x:v>
      </x:c>
      <x:c r="V25" s="36" t="n">
        <x:v>0</x:v>
      </x:c>
      <x:c r="W25" s="36" t="n">
        <x:v>39.9</x:v>
      </x:c>
      <x:c r="X25" s="36" t="n">
        <x:v>17</x:v>
      </x:c>
      <x:c r="Y25" s="36" t="n">
        <x:v>22.9</x:v>
      </x:c>
      <x:c r="Z25" s="38" t="n">
        <x:v>0.5739</x:v>
      </x:c>
      <x:c r="AA25" s="36" t="n">
        <x:v>26.02</x:v>
      </x:c>
      <x:c r="AB25" s="34" t="n">
        <x:v>3</x:v>
      </x:c>
      <x:c r="AC25" t="str"/>
    </x:row>
    <x:row r="26">
      <x:c r="A26" s="34" t="n">
        <x:v>25</x:v>
      </x:c>
      <x:c r="B26" s="34" t="n">
        <x:v>15</x:v>
      </x:c>
      <x:c r="C26" s="32" t="n">
        <x:v>46105</x:v>
      </x:c>
      <x:c r="D26" t="str">
        <x:v>2026-03</x:v>
      </x:c>
      <x:c r="E26" s="34" t="n">
        <x:v>53</x:v>
      </x:c>
      <x:c r="F26" t="str">
        <x:v>Carla Almeida</x:v>
      </x:c>
      <x:c r="G26" t="str">
        <x:v>SP</x:v>
      </x:c>
      <x:c r="H26" t="str">
        <x:v>Ribeirão Preto</x:v>
      </x:c>
      <x:c r="I26" s="34" t="n">
        <x:v>54</x:v>
      </x:c>
      <x:c r="J26" t="str">
        <x:v>ENTREGUE</x:v>
      </x:c>
      <x:c r="K26" t="str">
        <x:v>Instagram</x:v>
      </x:c>
      <x:c r="L26" t="str">
        <x:v>Cartão débito</x:v>
      </x:c>
      <x:c r="M26" s="34" t="n">
        <x:v>27</x:v>
      </x:c>
      <x:c r="N26" t="str">
        <x:v>Placa de Rede PCIe</x:v>
      </x:c>
      <x:c r="O26" t="str">
        <x:v>Rede</x:v>
      </x:c>
      <x:c r="P26" t="str">
        <x:v>Connect Rede</x:v>
      </x:c>
      <x:c r="Q26" s="34" t="n">
        <x:v>1</x:v>
      </x:c>
      <x:c r="R26" s="36" t="n">
        <x:v>79.9</x:v>
      </x:c>
      <x:c r="S26" s="38" t="n">
        <x:v>0</x:v>
      </x:c>
      <x:c r="T26" s="36" t="n">
        <x:v>79.9</x:v>
      </x:c>
      <x:c r="U26" s="36" t="n">
        <x:v>79.9</x:v>
      </x:c>
      <x:c r="V26" s="36" t="n">
        <x:v>0</x:v>
      </x:c>
      <x:c r="W26" s="36" t="n">
        <x:v>79.9</x:v>
      </x:c>
      <x:c r="X26" s="36" t="n">
        <x:v>37</x:v>
      </x:c>
      <x:c r="Y26" s="36" t="n">
        <x:v>42.9</x:v>
      </x:c>
      <x:c r="Z26" s="38" t="n">
        <x:v>0.5369</x:v>
      </x:c>
      <x:c r="AA26" s="36" t="n">
        <x:v>26.02</x:v>
      </x:c>
      <x:c r="AB26" s="34" t="n">
        <x:v>3</x:v>
      </x:c>
      <x:c r="AC26" t="str"/>
    </x:row>
    <x:row r="27">
      <x:c r="A27" s="34" t="n">
        <x:v>26</x:v>
      </x:c>
      <x:c r="B27" s="34" t="n">
        <x:v>15</x:v>
      </x:c>
      <x:c r="C27" s="32" t="n">
        <x:v>46105</x:v>
      </x:c>
      <x:c r="D27" t="str">
        <x:v>2026-03</x:v>
      </x:c>
      <x:c r="E27" s="34" t="n">
        <x:v>53</x:v>
      </x:c>
      <x:c r="F27" t="str">
        <x:v>Carla Almeida</x:v>
      </x:c>
      <x:c r="G27" t="str">
        <x:v>SP</x:v>
      </x:c>
      <x:c r="H27" t="str">
        <x:v>Ribeirão Preto</x:v>
      </x:c>
      <x:c r="I27" s="34" t="n">
        <x:v>54</x:v>
      </x:c>
      <x:c r="J27" t="str">
        <x:v>ENTREGUE</x:v>
      </x:c>
      <x:c r="K27" t="str">
        <x:v>Instagram</x:v>
      </x:c>
      <x:c r="L27" t="str">
        <x:v>Cartão débito</x:v>
      </x:c>
      <x:c r="M27" s="34" t="n">
        <x:v>25</x:v>
      </x:c>
      <x:c r="N27" t="str">
        <x:v>Roteador Wi-Fi AC1200</x:v>
      </x:c>
      <x:c r="O27" t="str">
        <x:v>Rede</x:v>
      </x:c>
      <x:c r="P27" t="str">
        <x:v>Connect Rede</x:v>
      </x:c>
      <x:c r="Q27" s="34" t="n">
        <x:v>2</x:v>
      </x:c>
      <x:c r="R27" s="36" t="n">
        <x:v>249.9</x:v>
      </x:c>
      <x:c r="S27" s="38" t="n">
        <x:v>0</x:v>
      </x:c>
      <x:c r="T27" s="36" t="n">
        <x:v>249.9</x:v>
      </x:c>
      <x:c r="U27" s="36" t="n">
        <x:v>499.8</x:v>
      </x:c>
      <x:c r="V27" s="36" t="n">
        <x:v>0</x:v>
      </x:c>
      <x:c r="W27" s="36" t="n">
        <x:v>499.8</x:v>
      </x:c>
      <x:c r="X27" s="36" t="n">
        <x:v>290</x:v>
      </x:c>
      <x:c r="Y27" s="36" t="n">
        <x:v>209.8</x:v>
      </x:c>
      <x:c r="Z27" s="38" t="n">
        <x:v>0.4198</x:v>
      </x:c>
      <x:c r="AA27" s="36" t="n">
        <x:v>26.02</x:v>
      </x:c>
      <x:c r="AB27" s="34" t="n">
        <x:v>3</x:v>
      </x:c>
      <x:c r="AC27" t="str"/>
    </x:row>
    <x:row r="28">
      <x:c r="A28" s="34" t="n">
        <x:v>27</x:v>
      </x:c>
      <x:c r="B28" s="34" t="n">
        <x:v>16</x:v>
      </x:c>
      <x:c r="C28" s="32" t="n">
        <x:v>46049</x:v>
      </x:c>
      <x:c r="D28" t="str">
        <x:v>2026-01</x:v>
      </x:c>
      <x:c r="E28" s="34" t="n">
        <x:v>41</x:v>
      </x:c>
      <x:c r="F28" t="str">
        <x:v>Thiago Costa</x:v>
      </x:c>
      <x:c r="G28" t="str">
        <x:v>SC</x:v>
      </x:c>
      <x:c r="H28" t="str">
        <x:v>Florianópolis</x:v>
      </x:c>
      <x:c r="I28" s="34" t="n">
        <x:v>60</x:v>
      </x:c>
      <x:c r="J28" t="str">
        <x:v>ENTREGUE</x:v>
      </x:c>
      <x:c r="K28" t="str">
        <x:v>Indicação</x:v>
      </x:c>
      <x:c r="L28" t="str">
        <x:v>Cartão crédito</x:v>
      </x:c>
      <x:c r="M28" s="34" t="n">
        <x:v>2</x:v>
      </x:c>
      <x:c r="N28" t="str">
        <x:v>Teclado Membrana ABNT2</x:v>
      </x:c>
      <x:c r="O28" t="str">
        <x:v>Periféricos</x:v>
      </x:c>
      <x:c r="P28" t="str">
        <x:v>TechDistribuidora Brasil</x:v>
      </x:c>
      <x:c r="Q28" s="34" t="n">
        <x:v>1</x:v>
      </x:c>
      <x:c r="R28" s="36" t="n">
        <x:v>89.9</x:v>
      </x:c>
      <x:c r="S28" s="38" t="n">
        <x:v>0.1</x:v>
      </x:c>
      <x:c r="T28" s="36" t="n">
        <x:v>80.91</x:v>
      </x:c>
      <x:c r="U28" s="36" t="n">
        <x:v>89.9</x:v>
      </x:c>
      <x:c r="V28" s="36" t="n">
        <x:v>8.99</x:v>
      </x:c>
      <x:c r="W28" s="36" t="n">
        <x:v>80.91</x:v>
      </x:c>
      <x:c r="X28" s="36" t="n">
        <x:v>48</x:v>
      </x:c>
      <x:c r="Y28" s="36" t="n">
        <x:v>32.91</x:v>
      </x:c>
      <x:c r="Z28" s="38" t="n">
        <x:v>0.4067</x:v>
      </x:c>
      <x:c r="AA28" s="36" t="n">
        <x:v>41.29</x:v>
      </x:c>
      <x:c r="AB28" s="34" t="n">
        <x:v>4</x:v>
      </x:c>
      <x:c r="AC28" t="str"/>
    </x:row>
    <x:row r="29">
      <x:c r="A29" s="34" t="n">
        <x:v>28</x:v>
      </x:c>
      <x:c r="B29" s="34" t="n">
        <x:v>16</x:v>
      </x:c>
      <x:c r="C29" s="32" t="n">
        <x:v>46049</x:v>
      </x:c>
      <x:c r="D29" t="str">
        <x:v>2026-01</x:v>
      </x:c>
      <x:c r="E29" s="34" t="n">
        <x:v>41</x:v>
      </x:c>
      <x:c r="F29" t="str">
        <x:v>Thiago Costa</x:v>
      </x:c>
      <x:c r="G29" t="str">
        <x:v>SC</x:v>
      </x:c>
      <x:c r="H29" t="str">
        <x:v>Florianópolis</x:v>
      </x:c>
      <x:c r="I29" s="34" t="n">
        <x:v>60</x:v>
      </x:c>
      <x:c r="J29" t="str">
        <x:v>ENTREGUE</x:v>
      </x:c>
      <x:c r="K29" t="str">
        <x:v>Indicação</x:v>
      </x:c>
      <x:c r="L29" t="str">
        <x:v>Cartão crédito</x:v>
      </x:c>
      <x:c r="M29" s="34" t="n">
        <x:v>5</x:v>
      </x:c>
      <x:c r="N29" t="str">
        <x:v>Mousepad Grande</x:v>
      </x:c>
      <x:c r="O29" t="str">
        <x:v>Acessórios</x:v>
      </x:c>
      <x:c r="P29" t="str">
        <x:v>Prime Eletrônicos</x:v>
      </x:c>
      <x:c r="Q29" s="34" t="n">
        <x:v>1</x:v>
      </x:c>
      <x:c r="R29" s="36" t="n">
        <x:v>39.9</x:v>
      </x:c>
      <x:c r="S29" s="38" t="n">
        <x:v>0</x:v>
      </x:c>
      <x:c r="T29" s="36" t="n">
        <x:v>39.9</x:v>
      </x:c>
      <x:c r="U29" s="36" t="n">
        <x:v>39.9</x:v>
      </x:c>
      <x:c r="V29" s="36" t="n">
        <x:v>0</x:v>
      </x:c>
      <x:c r="W29" s="36" t="n">
        <x:v>39.9</x:v>
      </x:c>
      <x:c r="X29" s="36" t="n">
        <x:v>17</x:v>
      </x:c>
      <x:c r="Y29" s="36" t="n">
        <x:v>22.9</x:v>
      </x:c>
      <x:c r="Z29" s="38" t="n">
        <x:v>0.5739</x:v>
      </x:c>
      <x:c r="AA29" s="36" t="n">
        <x:v>41.29</x:v>
      </x:c>
      <x:c r="AB29" s="34" t="n">
        <x:v>4</x:v>
      </x:c>
      <x:c r="AC29" t="str"/>
    </x:row>
    <x:row r="30">
      <x:c r="A30" s="34" t="n">
        <x:v>29</x:v>
      </x:c>
      <x:c r="B30" s="34" t="n">
        <x:v>16</x:v>
      </x:c>
      <x:c r="C30" s="32" t="n">
        <x:v>46049</x:v>
      </x:c>
      <x:c r="D30" t="str">
        <x:v>2026-01</x:v>
      </x:c>
      <x:c r="E30" s="34" t="n">
        <x:v>41</x:v>
      </x:c>
      <x:c r="F30" t="str">
        <x:v>Thiago Costa</x:v>
      </x:c>
      <x:c r="G30" t="str">
        <x:v>SC</x:v>
      </x:c>
      <x:c r="H30" t="str">
        <x:v>Florianópolis</x:v>
      </x:c>
      <x:c r="I30" s="34" t="n">
        <x:v>60</x:v>
      </x:c>
      <x:c r="J30" t="str">
        <x:v>ENTREGUE</x:v>
      </x:c>
      <x:c r="K30" t="str">
        <x:v>Indicação</x:v>
      </x:c>
      <x:c r="L30" t="str">
        <x:v>Cartão crédito</x:v>
      </x:c>
      <x:c r="M30" s="34" t="n">
        <x:v>1</x:v>
      </x:c>
      <x:c r="N30" t="str">
        <x:v>Mouse Óptico USB</x:v>
      </x:c>
      <x:c r="O30" t="str">
        <x:v>Periféricos</x:v>
      </x:c>
      <x:c r="P30" t="str">
        <x:v>TechDistribuidora Brasil</x:v>
      </x:c>
      <x:c r="Q30" s="34" t="n">
        <x:v>1</x:v>
      </x:c>
      <x:c r="R30" s="36" t="n">
        <x:v>49.9</x:v>
      </x:c>
      <x:c r="S30" s="38" t="n">
        <x:v>0.08</x:v>
      </x:c>
      <x:c r="T30" s="36" t="n">
        <x:v>45.91</x:v>
      </x:c>
      <x:c r="U30" s="36" t="n">
        <x:v>49.9</x:v>
      </x:c>
      <x:c r="V30" s="36" t="n">
        <x:v>3.99</x:v>
      </x:c>
      <x:c r="W30" s="36" t="n">
        <x:v>45.91</x:v>
      </x:c>
      <x:c r="X30" s="36" t="n">
        <x:v>25</x:v>
      </x:c>
      <x:c r="Y30" s="36" t="n">
        <x:v>20.91</x:v>
      </x:c>
      <x:c r="Z30" s="38" t="n">
        <x:v>0.4555</x:v>
      </x:c>
      <x:c r="AA30" s="36" t="n">
        <x:v>41.29</x:v>
      </x:c>
      <x:c r="AB30" s="34" t="n">
        <x:v>4</x:v>
      </x:c>
      <x:c r="AC30" t="str"/>
    </x:row>
    <x:row r="31">
      <x:c r="A31" s="34" t="n">
        <x:v>30</x:v>
      </x:c>
      <x:c r="B31" s="34" t="n">
        <x:v>16</x:v>
      </x:c>
      <x:c r="C31" s="32" t="n">
        <x:v>46049</x:v>
      </x:c>
      <x:c r="D31" t="str">
        <x:v>2026-01</x:v>
      </x:c>
      <x:c r="E31" s="34" t="n">
        <x:v>41</x:v>
      </x:c>
      <x:c r="F31" t="str">
        <x:v>Thiago Costa</x:v>
      </x:c>
      <x:c r="G31" t="str">
        <x:v>SC</x:v>
      </x:c>
      <x:c r="H31" t="str">
        <x:v>Florianópolis</x:v>
      </x:c>
      <x:c r="I31" s="34" t="n">
        <x:v>60</x:v>
      </x:c>
      <x:c r="J31" t="str">
        <x:v>ENTREGUE</x:v>
      </x:c>
      <x:c r="K31" t="str">
        <x:v>Indicação</x:v>
      </x:c>
      <x:c r="L31" t="str">
        <x:v>Cartão crédito</x:v>
      </x:c>
      <x:c r="M31" s="34" t="n">
        <x:v>27</x:v>
      </x:c>
      <x:c r="N31" t="str">
        <x:v>Placa de Rede PCIe</x:v>
      </x:c>
      <x:c r="O31" t="str">
        <x:v>Rede</x:v>
      </x:c>
      <x:c r="P31" t="str">
        <x:v>Connect Rede</x:v>
      </x:c>
      <x:c r="Q31" s="34" t="n">
        <x:v>1</x:v>
      </x:c>
      <x:c r="R31" s="36" t="n">
        <x:v>79.9</x:v>
      </x:c>
      <x:c r="S31" s="38" t="n">
        <x:v>0</x:v>
      </x:c>
      <x:c r="T31" s="36" t="n">
        <x:v>79.9</x:v>
      </x:c>
      <x:c r="U31" s="36" t="n">
        <x:v>79.9</x:v>
      </x:c>
      <x:c r="V31" s="36" t="n">
        <x:v>0</x:v>
      </x:c>
      <x:c r="W31" s="36" t="n">
        <x:v>79.9</x:v>
      </x:c>
      <x:c r="X31" s="36" t="n">
        <x:v>37</x:v>
      </x:c>
      <x:c r="Y31" s="36" t="n">
        <x:v>42.9</x:v>
      </x:c>
      <x:c r="Z31" s="38" t="n">
        <x:v>0.5369</x:v>
      </x:c>
      <x:c r="AA31" s="36" t="n">
        <x:v>41.29</x:v>
      </x:c>
      <x:c r="AB31" s="34" t="n">
        <x:v>4</x:v>
      </x:c>
      <x:c r="AC31" t="str"/>
    </x:row>
    <x:row r="32">
      <x:c r="A32" s="34" t="n">
        <x:v>31</x:v>
      </x:c>
      <x:c r="B32" s="34" t="n">
        <x:v>17</x:v>
      </x:c>
      <x:c r="C32" s="32" t="n">
        <x:v>46041</x:v>
      </x:c>
      <x:c r="D32" t="str">
        <x:v>2026-01</x:v>
      </x:c>
      <x:c r="E32" s="34" t="n">
        <x:v>48</x:v>
      </x:c>
      <x:c r="F32" t="str">
        <x:v>Caio Rodrigues</x:v>
      </x:c>
      <x:c r="G32" t="str">
        <x:v>SP</x:v>
      </x:c>
      <x:c r="H32" t="str">
        <x:v>Ribeirão Preto</x:v>
      </x:c>
      <x:c r="I32" s="34" t="n">
        <x:v>36</x:v>
      </x:c>
      <x:c r="J32" t="str">
        <x:v>ENTREGUE</x:v>
      </x:c>
      <x:c r="K32" t="str">
        <x:v>WhatsApp</x:v>
      </x:c>
      <x:c r="L32" t="str">
        <x:v>Boleto</x:v>
      </x:c>
      <x:c r="M32" s="34" t="n">
        <x:v>10</x:v>
      </x:c>
      <x:c r="N32" t="str">
        <x:v>SSD 480GB SATA</x:v>
      </x:c>
      <x:c r="O32" t="str">
        <x:v>Armazenamento</x:v>
      </x:c>
      <x:c r="P32" t="str">
        <x:v>Mega Componentes</x:v>
      </x:c>
      <x:c r="Q32" s="34" t="n">
        <x:v>1</x:v>
      </x:c>
      <x:c r="R32" s="36" t="n">
        <x:v>259.9</x:v>
      </x:c>
      <x:c r="S32" s="38" t="n">
        <x:v>0.05</x:v>
      </x:c>
      <x:c r="T32" s="36" t="n">
        <x:v>246.9</x:v>
      </x:c>
      <x:c r="U32" s="36" t="n">
        <x:v>259.9</x:v>
      </x:c>
      <x:c r="V32" s="36" t="n">
        <x:v>13</x:v>
      </x:c>
      <x:c r="W32" s="36" t="n">
        <x:v>246.9</x:v>
      </x:c>
      <x:c r="X32" s="36" t="n">
        <x:v>158</x:v>
      </x:c>
      <x:c r="Y32" s="36" t="n">
        <x:v>88.9</x:v>
      </x:c>
      <x:c r="Z32" s="38" t="n">
        <x:v>0.3601</x:v>
      </x:c>
      <x:c r="AA32" s="36" t="n">
        <x:v>41.02</x:v>
      </x:c>
      <x:c r="AB32" s="34" t="n">
        <x:v>2</x:v>
      </x:c>
      <x:c r="AC32" t="str"/>
    </x:row>
    <x:row r="33">
      <x:c r="A33" s="34" t="n">
        <x:v>32</x:v>
      </x:c>
      <x:c r="B33" s="34" t="n">
        <x:v>17</x:v>
      </x:c>
      <x:c r="C33" s="32" t="n">
        <x:v>46041</x:v>
      </x:c>
      <x:c r="D33" t="str">
        <x:v>2026-01</x:v>
      </x:c>
      <x:c r="E33" s="34" t="n">
        <x:v>48</x:v>
      </x:c>
      <x:c r="F33" t="str">
        <x:v>Caio Rodrigues</x:v>
      </x:c>
      <x:c r="G33" t="str">
        <x:v>SP</x:v>
      </x:c>
      <x:c r="H33" t="str">
        <x:v>Ribeirão Preto</x:v>
      </x:c>
      <x:c r="I33" s="34" t="n">
        <x:v>36</x:v>
      </x:c>
      <x:c r="J33" t="str">
        <x:v>ENTREGUE</x:v>
      </x:c>
      <x:c r="K33" t="str">
        <x:v>WhatsApp</x:v>
      </x:c>
      <x:c r="L33" t="str">
        <x:v>Boleto</x:v>
      </x:c>
      <x:c r="M33" s="34" t="n">
        <x:v>12</x:v>
      </x:c>
      <x:c r="N33" t="str">
        <x:v>HD Externo 1TB</x:v>
      </x:c>
      <x:c r="O33" t="str">
        <x:v>Armazenamento</x:v>
      </x:c>
      <x:c r="P33" t="str">
        <x:v>InfoMax Atacado</x:v>
      </x:c>
      <x:c r="Q33" s="34" t="n">
        <x:v>1</x:v>
      </x:c>
      <x:c r="R33" s="36" t="n">
        <x:v>369.9</x:v>
      </x:c>
      <x:c r="S33" s="38" t="n">
        <x:v>0</x:v>
      </x:c>
      <x:c r="T33" s="36" t="n">
        <x:v>369.9</x:v>
      </x:c>
      <x:c r="U33" s="36" t="n">
        <x:v>369.9</x:v>
      </x:c>
      <x:c r="V33" s="36" t="n">
        <x:v>0</x:v>
      </x:c>
      <x:c r="W33" s="36" t="n">
        <x:v>369.9</x:v>
      </x:c>
      <x:c r="X33" s="36" t="n">
        <x:v>246</x:v>
      </x:c>
      <x:c r="Y33" s="36" t="n">
        <x:v>123.9</x:v>
      </x:c>
      <x:c r="Z33" s="38" t="n">
        <x:v>0.335</x:v>
      </x:c>
      <x:c r="AA33" s="36" t="n">
        <x:v>41.02</x:v>
      </x:c>
      <x:c r="AB33" s="34" t="n">
        <x:v>2</x:v>
      </x:c>
      <x:c r="AC33" t="str"/>
    </x:row>
    <x:row r="34">
      <x:c r="A34" s="34" t="n">
        <x:v>33</x:v>
      </x:c>
      <x:c r="B34" s="34" t="n">
        <x:v>18</x:v>
      </x:c>
      <x:c r="C34" s="32" t="n">
        <x:v>46135</x:v>
      </x:c>
      <x:c r="D34" t="str">
        <x:v>2026-04</x:v>
      </x:c>
      <x:c r="E34" s="34" t="n">
        <x:v>24</x:v>
      </x:c>
      <x:c r="F34" t="str">
        <x:v>Gabriela Nascimento</x:v>
      </x:c>
      <x:c r="G34" t="str">
        <x:v>SP</x:v>
      </x:c>
      <x:c r="H34" t="str">
        <x:v>Votuporanga</x:v>
      </x:c>
      <x:c r="I34" s="34" t="n">
        <x:v>29</x:v>
      </x:c>
      <x:c r="J34" t="str">
        <x:v>ENVIADO</x:v>
      </x:c>
      <x:c r="K34" t="str">
        <x:v>Marketplace</x:v>
      </x:c>
      <x:c r="L34" t="str">
        <x:v>Pix</x:v>
      </x:c>
      <x:c r="M34" s="34" t="n">
        <x:v>15</x:v>
      </x:c>
      <x:c r="N34" t="str">
        <x:v>Fonte 500W 80 Plus</x:v>
      </x:c>
      <x:c r="O34" t="str">
        <x:v>Componentes</x:v>
      </x:c>
      <x:c r="P34" t="str">
        <x:v>FastHardware</x:v>
      </x:c>
      <x:c r="Q34" s="34" t="n">
        <x:v>1</x:v>
      </x:c>
      <x:c r="R34" s="36" t="n">
        <x:v>289.9</x:v>
      </x:c>
      <x:c r="S34" s="38" t="n">
        <x:v>0.08</x:v>
      </x:c>
      <x:c r="T34" s="36" t="n">
        <x:v>266.71</x:v>
      </x:c>
      <x:c r="U34" s="36" t="n">
        <x:v>289.9</x:v>
      </x:c>
      <x:c r="V34" s="36" t="n">
        <x:v>23.19</x:v>
      </x:c>
      <x:c r="W34" s="36" t="n">
        <x:v>266.71</x:v>
      </x:c>
      <x:c r="X34" s="36" t="n">
        <x:v>182</x:v>
      </x:c>
      <x:c r="Y34" s="36" t="n">
        <x:v>84.71</x:v>
      </x:c>
      <x:c r="Z34" s="38" t="n">
        <x:v>0.3176</x:v>
      </x:c>
      <x:c r="AA34" s="36" t="n">
        <x:v>23.73</x:v>
      </x:c>
      <x:c r="AB34" s="34" t="n">
        <x:v>4</x:v>
      </x:c>
      <x:c r="AC34" t="str"/>
    </x:row>
    <x:row r="35">
      <x:c r="A35" s="34" t="n">
        <x:v>34</x:v>
      </x:c>
      <x:c r="B35" s="34" t="n">
        <x:v>19</x:v>
      </x:c>
      <x:c r="C35" s="32" t="n">
        <x:v>46068</x:v>
      </x:c>
      <x:c r="D35" t="str">
        <x:v>2026-02</x:v>
      </x:c>
      <x:c r="E35" s="34" t="n">
        <x:v>43</x:v>
      </x:c>
      <x:c r="F35" t="str">
        <x:v>Caio Souza</x:v>
      </x:c>
      <x:c r="G35" t="str">
        <x:v>SP</x:v>
      </x:c>
      <x:c r="H35" t="str">
        <x:v>Mirassol</x:v>
      </x:c>
      <x:c r="I35" s="34" t="n">
        <x:v>22</x:v>
      </x:c>
      <x:c r="J35" t="str">
        <x:v>ENTREGUE</x:v>
      </x:c>
      <x:c r="K35" t="str">
        <x:v>Site</x:v>
      </x:c>
      <x:c r="L35" t="str">
        <x:v>Cartão crédito</x:v>
      </x:c>
      <x:c r="M35" s="34" t="n">
        <x:v>14</x:v>
      </x:c>
      <x:c r="N35" t="str">
        <x:v>Memória RAM 16GB DDR4</x:v>
      </x:c>
      <x:c r="O35" t="str">
        <x:v>Componentes</x:v>
      </x:c>
      <x:c r="P35" t="str">
        <x:v>Mega Componentes</x:v>
      </x:c>
      <x:c r="Q35" s="34" t="n">
        <x:v>1</x:v>
      </x:c>
      <x:c r="R35" s="36" t="n">
        <x:v>319.9</x:v>
      </x:c>
      <x:c r="S35" s="38" t="n">
        <x:v>0.08</x:v>
      </x:c>
      <x:c r="T35" s="36" t="n">
        <x:v>294.31</x:v>
      </x:c>
      <x:c r="U35" s="36" t="n">
        <x:v>319.9</x:v>
      </x:c>
      <x:c r="V35" s="36" t="n">
        <x:v>25.59</x:v>
      </x:c>
      <x:c r="W35" s="36" t="n">
        <x:v>294.31</x:v>
      </x:c>
      <x:c r="X35" s="36" t="n">
        <x:v>198</x:v>
      </x:c>
      <x:c r="Y35" s="36" t="n">
        <x:v>96.31</x:v>
      </x:c>
      <x:c r="Z35" s="38" t="n">
        <x:v>0.3272</x:v>
      </x:c>
      <x:c r="AA35" s="36" t="n">
        <x:v>12.48</x:v>
      </x:c>
      <x:c r="AB35" s="34" t="n">
        <x:v>10</x:v>
      </x:c>
      <x:c r="AC35" t="str"/>
    </x:row>
    <x:row r="36">
      <x:c r="A36" s="34" t="n">
        <x:v>35</x:v>
      </x:c>
      <x:c r="B36" s="34" t="n">
        <x:v>20</x:v>
      </x:c>
      <x:c r="C36" s="32" t="n">
        <x:v>46176</x:v>
      </x:c>
      <x:c r="D36" t="str">
        <x:v>2026-06</x:v>
      </x:c>
      <x:c r="E36" s="34" t="n">
        <x:v>38</x:v>
      </x:c>
      <x:c r="F36" t="str">
        <x:v>Diego Santos</x:v>
      </x:c>
      <x:c r="G36" t="str">
        <x:v>MS</x:v>
      </x:c>
      <x:c r="H36" t="str">
        <x:v>Campo Grande</x:v>
      </x:c>
      <x:c r="I36" s="34" t="n">
        <x:v>52</x:v>
      </x:c>
      <x:c r="J36" t="str">
        <x:v>ENTREGUE</x:v>
      </x:c>
      <x:c r="K36" t="str">
        <x:v>Site</x:v>
      </x:c>
      <x:c r="L36" t="str">
        <x:v>Cartão débito</x:v>
      </x:c>
      <x:c r="M36" s="34" t="n">
        <x:v>27</x:v>
      </x:c>
      <x:c r="N36" t="str">
        <x:v>Placa de Rede PCIe</x:v>
      </x:c>
      <x:c r="O36" t="str">
        <x:v>Rede</x:v>
      </x:c>
      <x:c r="P36" t="str">
        <x:v>Connect Rede</x:v>
      </x:c>
      <x:c r="Q36" s="34" t="n">
        <x:v>1</x:v>
      </x:c>
      <x:c r="R36" s="36" t="n">
        <x:v>79.9</x:v>
      </x:c>
      <x:c r="S36" s="38" t="n">
        <x:v>0</x:v>
      </x:c>
      <x:c r="T36" s="36" t="n">
        <x:v>79.9</x:v>
      </x:c>
      <x:c r="U36" s="36" t="n">
        <x:v>79.9</x:v>
      </x:c>
      <x:c r="V36" s="36" t="n">
        <x:v>0</x:v>
      </x:c>
      <x:c r="W36" s="36" t="n">
        <x:v>79.9</x:v>
      </x:c>
      <x:c r="X36" s="36" t="n">
        <x:v>37</x:v>
      </x:c>
      <x:c r="Y36" s="36" t="n">
        <x:v>42.9</x:v>
      </x:c>
      <x:c r="Z36" s="38" t="n">
        <x:v>0.5369</x:v>
      </x:c>
      <x:c r="AA36" s="36" t="n">
        <x:v>32.79</x:v>
      </x:c>
      <x:c r="AB36" s="34" t="n">
        <x:v>4</x:v>
      </x:c>
      <x:c r="AC36" t="str"/>
    </x:row>
    <x:row r="37">
      <x:c r="A37" s="34" t="n">
        <x:v>36</x:v>
      </x:c>
      <x:c r="B37" s="34" t="n">
        <x:v>21</x:v>
      </x:c>
      <x:c r="C37" s="32" t="n">
        <x:v>46089</x:v>
      </x:c>
      <x:c r="D37" t="str">
        <x:v>2026-03</x:v>
      </x:c>
      <x:c r="E37" s="34" t="n">
        <x:v>12</x:v>
      </x:c>
      <x:c r="F37" t="str">
        <x:v>Renan Silva</x:v>
      </x:c>
      <x:c r="G37" t="str">
        <x:v>RJ</x:v>
      </x:c>
      <x:c r="H37" t="str">
        <x:v>Rio de Janeiro</x:v>
      </x:c>
      <x:c r="I37" s="34" t="n">
        <x:v>61</x:v>
      </x:c>
      <x:c r="J37" t="str">
        <x:v>ENTREGUE</x:v>
      </x:c>
      <x:c r="K37" t="str">
        <x:v>Site</x:v>
      </x:c>
      <x:c r="L37" t="str">
        <x:v>Pix</x:v>
      </x:c>
      <x:c r="M37" s="34" t="n">
        <x:v>26</x:v>
      </x:c>
      <x:c r="N37" t="str">
        <x:v>Switch 8 Portas Gigabit</x:v>
      </x:c>
      <x:c r="O37" t="str">
        <x:v>Rede</x:v>
      </x:c>
      <x:c r="P37" t="str">
        <x:v>Connect Rede</x:v>
      </x:c>
      <x:c r="Q37" s="34" t="n">
        <x:v>1</x:v>
      </x:c>
      <x:c r="R37" s="36" t="n">
        <x:v>189.9</x:v>
      </x:c>
      <x:c r="S37" s="38" t="n">
        <x:v>0</x:v>
      </x:c>
      <x:c r="T37" s="36" t="n">
        <x:v>189.9</x:v>
      </x:c>
      <x:c r="U37" s="36" t="n">
        <x:v>189.9</x:v>
      </x:c>
      <x:c r="V37" s="36" t="n">
        <x:v>0</x:v>
      </x:c>
      <x:c r="W37" s="36" t="n">
        <x:v>189.9</x:v>
      </x:c>
      <x:c r="X37" s="36" t="n">
        <x:v>103</x:v>
      </x:c>
      <x:c r="Y37" s="36" t="n">
        <x:v>86.9</x:v>
      </x:c>
      <x:c r="Z37" s="38" t="n">
        <x:v>0.4576</x:v>
      </x:c>
      <x:c r="AA37" s="36" t="n">
        <x:v>36.14</x:v>
      </x:c>
      <x:c r="AB37" s="34" t="n">
        <x:v>2</x:v>
      </x:c>
      <x:c r="AC37" t="str"/>
    </x:row>
    <x:row r="38">
      <x:c r="A38" s="34" t="n">
        <x:v>37</x:v>
      </x:c>
      <x:c r="B38" s="34" t="n">
        <x:v>22</x:v>
      </x:c>
      <x:c r="C38" s="32" t="n">
        <x:v>46081</x:v>
      </x:c>
      <x:c r="D38" t="str">
        <x:v>2026-02</x:v>
      </x:c>
      <x:c r="E38" s="34" t="n">
        <x:v>8</x:v>
      </x:c>
      <x:c r="F38" t="str">
        <x:v>Mariana Pereira</x:v>
      </x:c>
      <x:c r="G38" t="str">
        <x:v>SP</x:v>
      </x:c>
      <x:c r="H38" t="str">
        <x:v>São Paulo</x:v>
      </x:c>
      <x:c r="I38" s="34" t="n">
        <x:v>63</x:v>
      </x:c>
      <x:c r="J38" t="str">
        <x:v>ENTREGUE</x:v>
      </x:c>
      <x:c r="K38" t="str">
        <x:v>WhatsApp</x:v>
      </x:c>
      <x:c r="L38" t="str">
        <x:v>Cartão crédito</x:v>
      </x:c>
      <x:c r="M38" s="34" t="n">
        <x:v>8</x:v>
      </x:c>
      <x:c r="N38" t="str">
        <x:v>Suporte Articulado para Monitor</x:v>
      </x:c>
      <x:c r="O38" t="str">
        <x:v>Acessórios</x:v>
      </x:c>
      <x:c r="P38" t="str">
        <x:v>OfficeTech Supply</x:v>
      </x:c>
      <x:c r="Q38" s="34" t="n">
        <x:v>4</x:v>
      </x:c>
      <x:c r="R38" s="36" t="n">
        <x:v>149.9</x:v>
      </x:c>
      <x:c r="S38" s="38" t="n">
        <x:v>0.03</x:v>
      </x:c>
      <x:c r="T38" s="36" t="n">
        <x:v>145.4</x:v>
      </x:c>
      <x:c r="U38" s="36" t="n">
        <x:v>599.6</x:v>
      </x:c>
      <x:c r="V38" s="36" t="n">
        <x:v>18</x:v>
      </x:c>
      <x:c r="W38" s="36" t="n">
        <x:v>581.6</x:v>
      </x:c>
      <x:c r="X38" s="36" t="n">
        <x:v>292</x:v>
      </x:c>
      <x:c r="Y38" s="36" t="n">
        <x:v>289.6</x:v>
      </x:c>
      <x:c r="Z38" s="38" t="n">
        <x:v>0.4979</x:v>
      </x:c>
      <x:c r="AA38" s="36" t="n">
        <x:v>35.65</x:v>
      </x:c>
      <x:c r="AB38" s="34" t="n">
        <x:v>4</x:v>
      </x:c>
      <x:c r="AC38" t="str"/>
    </x:row>
    <x:row r="39">
      <x:c r="A39" s="34" t="n">
        <x:v>38</x:v>
      </x:c>
      <x:c r="B39" s="34" t="n">
        <x:v>22</x:v>
      </x:c>
      <x:c r="C39" s="32" t="n">
        <x:v>46081</x:v>
      </x:c>
      <x:c r="D39" t="str">
        <x:v>2026-02</x:v>
      </x:c>
      <x:c r="E39" s="34" t="n">
        <x:v>8</x:v>
      </x:c>
      <x:c r="F39" t="str">
        <x:v>Mariana Pereira</x:v>
      </x:c>
      <x:c r="G39" t="str">
        <x:v>SP</x:v>
      </x:c>
      <x:c r="H39" t="str">
        <x:v>São Paulo</x:v>
      </x:c>
      <x:c r="I39" s="34" t="n">
        <x:v>63</x:v>
      </x:c>
      <x:c r="J39" t="str">
        <x:v>ENTREGUE</x:v>
      </x:c>
      <x:c r="K39" t="str">
        <x:v>WhatsApp</x:v>
      </x:c>
      <x:c r="L39" t="str">
        <x:v>Cartão crédito</x:v>
      </x:c>
      <x:c r="M39" s="34" t="n">
        <x:v>21</x:v>
      </x:c>
      <x:c r="N39" t="str">
        <x:v>Monitor Gamer 27"</x:v>
      </x:c>
      <x:c r="O39" t="str">
        <x:v>Monitores</x:v>
      </x:c>
      <x:c r="P39" t="str">
        <x:v>Brasil Monitores</x:v>
      </x:c>
      <x:c r="Q39" s="34" t="n">
        <x:v>1</x:v>
      </x:c>
      <x:c r="R39" s="36" t="n">
        <x:v>1599.9</x:v>
      </x:c>
      <x:c r="S39" s="38" t="n">
        <x:v>0.1</x:v>
      </x:c>
      <x:c r="T39" s="36" t="n">
        <x:v>1439.91</x:v>
      </x:c>
      <x:c r="U39" s="36" t="n">
        <x:v>1599.9</x:v>
      </x:c>
      <x:c r="V39" s="36" t="n">
        <x:v>159.99</x:v>
      </x:c>
      <x:c r="W39" s="36" t="n">
        <x:v>1439.91</x:v>
      </x:c>
      <x:c r="X39" s="36" t="n">
        <x:v>1190</x:v>
      </x:c>
      <x:c r="Y39" s="36" t="n">
        <x:v>249.91</x:v>
      </x:c>
      <x:c r="Z39" s="38" t="n">
        <x:v>0.1736</x:v>
      </x:c>
      <x:c r="AA39" s="36" t="n">
        <x:v>35.65</x:v>
      </x:c>
      <x:c r="AB39" s="34" t="n">
        <x:v>4</x:v>
      </x:c>
      <x:c r="AC39" t="str"/>
    </x:row>
    <x:row r="40">
      <x:c r="A40" s="34" t="n">
        <x:v>39</x:v>
      </x:c>
      <x:c r="B40" s="34" t="n">
        <x:v>23</x:v>
      </x:c>
      <x:c r="C40" s="32" t="n">
        <x:v>46031</x:v>
      </x:c>
      <x:c r="D40" t="str">
        <x:v>2026-01</x:v>
      </x:c>
      <x:c r="E40" s="34" t="n">
        <x:v>31</x:v>
      </x:c>
      <x:c r="F40" t="str">
        <x:v>Tatiane Lima</x:v>
      </x:c>
      <x:c r="G40" t="str">
        <x:v>SP</x:v>
      </x:c>
      <x:c r="H40" t="str">
        <x:v>Mirassol</x:v>
      </x:c>
      <x:c r="I40" s="34" t="n">
        <x:v>31</x:v>
      </x:c>
      <x:c r="J40" t="str">
        <x:v>EM PROCESSAMENTO</x:v>
      </x:c>
      <x:c r="K40" t="str">
        <x:v>Site</x:v>
      </x:c>
      <x:c r="L40" t="str">
        <x:v>Cartão crédito</x:v>
      </x:c>
      <x:c r="M40" s="34" t="n">
        <x:v>7</x:v>
      </x:c>
      <x:c r="N40" t="str">
        <x:v>Adaptador USB-C HDMI</x:v>
      </x:c>
      <x:c r="O40" t="str">
        <x:v>Acessórios</x:v>
      </x:c>
      <x:c r="P40" t="str">
        <x:v>Prime Eletrônicos</x:v>
      </x:c>
      <x:c r="Q40" s="34" t="n">
        <x:v>3</x:v>
      </x:c>
      <x:c r="R40" s="36" t="n">
        <x:v>119.9</x:v>
      </x:c>
      <x:c r="S40" s="38" t="n">
        <x:v>0</x:v>
      </x:c>
      <x:c r="T40" s="36" t="n">
        <x:v>119.9</x:v>
      </x:c>
      <x:c r="U40" s="36" t="n">
        <x:v>359.7</x:v>
      </x:c>
      <x:c r="V40" s="36" t="n">
        <x:v>0</x:v>
      </x:c>
      <x:c r="W40" s="36" t="n">
        <x:v>359.7</x:v>
      </x:c>
      <x:c r="X40" s="36" t="n">
        <x:v>174</x:v>
      </x:c>
      <x:c r="Y40" s="36" t="n">
        <x:v>185.7</x:v>
      </x:c>
      <x:c r="Z40" s="38" t="n">
        <x:v>0.5163</x:v>
      </x:c>
      <x:c r="AA40" s="36" t="n">
        <x:v>44.77</x:v>
      </x:c>
      <x:c r="AB40" s="34"/>
      <x:c r="AC40" t="str"/>
    </x:row>
    <x:row r="41">
      <x:c r="A41" s="34" t="n">
        <x:v>40</x:v>
      </x:c>
      <x:c r="B41" s="34" t="n">
        <x:v>23</x:v>
      </x:c>
      <x:c r="C41" s="32" t="n">
        <x:v>46031</x:v>
      </x:c>
      <x:c r="D41" t="str">
        <x:v>2026-01</x:v>
      </x:c>
      <x:c r="E41" s="34" t="n">
        <x:v>31</x:v>
      </x:c>
      <x:c r="F41" t="str">
        <x:v>Tatiane Lima</x:v>
      </x:c>
      <x:c r="G41" t="str">
        <x:v>SP</x:v>
      </x:c>
      <x:c r="H41" t="str">
        <x:v>Mirassol</x:v>
      </x:c>
      <x:c r="I41" s="34" t="n">
        <x:v>31</x:v>
      </x:c>
      <x:c r="J41" t="str">
        <x:v>EM PROCESSAMENTO</x:v>
      </x:c>
      <x:c r="K41" t="str">
        <x:v>Site</x:v>
      </x:c>
      <x:c r="L41" t="str">
        <x:v>Cartão crédito</x:v>
      </x:c>
      <x:c r="M41" s="34" t="n">
        <x:v>2</x:v>
      </x:c>
      <x:c r="N41" t="str">
        <x:v>Teclado Membrana ABNT2</x:v>
      </x:c>
      <x:c r="O41" t="str">
        <x:v>Periféricos</x:v>
      </x:c>
      <x:c r="P41" t="str">
        <x:v>TechDistribuidora Brasil</x:v>
      </x:c>
      <x:c r="Q41" s="34" t="n">
        <x:v>1</x:v>
      </x:c>
      <x:c r="R41" s="36" t="n">
        <x:v>89.9</x:v>
      </x:c>
      <x:c r="S41" s="38" t="n">
        <x:v>0</x:v>
      </x:c>
      <x:c r="T41" s="36" t="n">
        <x:v>89.9</x:v>
      </x:c>
      <x:c r="U41" s="36" t="n">
        <x:v>89.9</x:v>
      </x:c>
      <x:c r="V41" s="36" t="n">
        <x:v>0</x:v>
      </x:c>
      <x:c r="W41" s="36" t="n">
        <x:v>89.9</x:v>
      </x:c>
      <x:c r="X41" s="36" t="n">
        <x:v>48</x:v>
      </x:c>
      <x:c r="Y41" s="36" t="n">
        <x:v>41.9</x:v>
      </x:c>
      <x:c r="Z41" s="38" t="n">
        <x:v>0.4661</x:v>
      </x:c>
      <x:c r="AA41" s="36" t="n">
        <x:v>44.77</x:v>
      </x:c>
      <x:c r="AB41" s="34"/>
      <x:c r="AC41" t="str"/>
    </x:row>
    <x:row r="42">
      <x:c r="A42" s="34" t="n">
        <x:v>41</x:v>
      </x:c>
      <x:c r="B42" s="34" t="n">
        <x:v>23</x:v>
      </x:c>
      <x:c r="C42" s="32" t="n">
        <x:v>46031</x:v>
      </x:c>
      <x:c r="D42" t="str">
        <x:v>2026-01</x:v>
      </x:c>
      <x:c r="E42" s="34" t="n">
        <x:v>31</x:v>
      </x:c>
      <x:c r="F42" t="str">
        <x:v>Tatiane Lima</x:v>
      </x:c>
      <x:c r="G42" t="str">
        <x:v>SP</x:v>
      </x:c>
      <x:c r="H42" t="str">
        <x:v>Mirassol</x:v>
      </x:c>
      <x:c r="I42" s="34" t="n">
        <x:v>31</x:v>
      </x:c>
      <x:c r="J42" t="str">
        <x:v>EM PROCESSAMENTO</x:v>
      </x:c>
      <x:c r="K42" t="str">
        <x:v>Site</x:v>
      </x:c>
      <x:c r="L42" t="str">
        <x:v>Cartão crédito</x:v>
      </x:c>
      <x:c r="M42" s="34" t="n">
        <x:v>17</x:v>
      </x:c>
      <x:c r="N42" t="str">
        <x:v>Processador Ryzen 5</x:v>
      </x:c>
      <x:c r="O42" t="str">
        <x:v>Componentes</x:v>
      </x:c>
      <x:c r="P42" t="str">
        <x:v>FastHardware</x:v>
      </x:c>
      <x:c r="Q42" s="34" t="n">
        <x:v>1</x:v>
      </x:c>
      <x:c r="R42" s="36" t="n">
        <x:v>799.9</x:v>
      </x:c>
      <x:c r="S42" s="38" t="n">
        <x:v>0</x:v>
      </x:c>
      <x:c r="T42" s="36" t="n">
        <x:v>799.9</x:v>
      </x:c>
      <x:c r="U42" s="36" t="n">
        <x:v>799.9</x:v>
      </x:c>
      <x:c r="V42" s="36" t="n">
        <x:v>0</x:v>
      </x:c>
      <x:c r="W42" s="36" t="n">
        <x:v>799.9</x:v>
      </x:c>
      <x:c r="X42" s="36" t="n">
        <x:v>612</x:v>
      </x:c>
      <x:c r="Y42" s="36" t="n">
        <x:v>187.9</x:v>
      </x:c>
      <x:c r="Z42" s="38" t="n">
        <x:v>0.2349</x:v>
      </x:c>
      <x:c r="AA42" s="36" t="n">
        <x:v>44.77</x:v>
      </x:c>
      <x:c r="AB42" s="34"/>
      <x:c r="AC42" t="str"/>
    </x:row>
    <x:row r="43">
      <x:c r="A43" s="34" t="n">
        <x:v>42</x:v>
      </x:c>
      <x:c r="B43" s="34" t="n">
        <x:v>24</x:v>
      </x:c>
      <x:c r="C43" s="32" t="n">
        <x:v>46177</x:v>
      </x:c>
      <x:c r="D43" t="str">
        <x:v>2026-06</x:v>
      </x:c>
      <x:c r="E43" s="34" t="n">
        <x:v>8</x:v>
      </x:c>
      <x:c r="F43" t="str">
        <x:v>Mariana Pereira</x:v>
      </x:c>
      <x:c r="G43" t="str">
        <x:v>SP</x:v>
      </x:c>
      <x:c r="H43" t="str">
        <x:v>São Paulo</x:v>
      </x:c>
      <x:c r="I43" s="34" t="n">
        <x:v>63</x:v>
      </x:c>
      <x:c r="J43" t="str">
        <x:v>ENTREGUE</x:v>
      </x:c>
      <x:c r="K43" t="str">
        <x:v>Site</x:v>
      </x:c>
      <x:c r="L43" t="str">
        <x:v>Pix</x:v>
      </x:c>
      <x:c r="M43" s="34" t="n">
        <x:v>14</x:v>
      </x:c>
      <x:c r="N43" t="str">
        <x:v>Memória RAM 16GB DDR4</x:v>
      </x:c>
      <x:c r="O43" t="str">
        <x:v>Componentes</x:v>
      </x:c>
      <x:c r="P43" t="str">
        <x:v>Mega Componentes</x:v>
      </x:c>
      <x:c r="Q43" s="34" t="n">
        <x:v>1</x:v>
      </x:c>
      <x:c r="R43" s="36" t="n">
        <x:v>319.9</x:v>
      </x:c>
      <x:c r="S43" s="38" t="n">
        <x:v>0.05</x:v>
      </x:c>
      <x:c r="T43" s="36" t="n">
        <x:v>303.9</x:v>
      </x:c>
      <x:c r="U43" s="36" t="n">
        <x:v>319.9</x:v>
      </x:c>
      <x:c r="V43" s="36" t="n">
        <x:v>16</x:v>
      </x:c>
      <x:c r="W43" s="36" t="n">
        <x:v>303.9</x:v>
      </x:c>
      <x:c r="X43" s="36" t="n">
        <x:v>198</x:v>
      </x:c>
      <x:c r="Y43" s="36" t="n">
        <x:v>105.9</x:v>
      </x:c>
      <x:c r="Z43" s="38" t="n">
        <x:v>0.3485</x:v>
      </x:c>
      <x:c r="AA43" s="36" t="n">
        <x:v>44.96</x:v>
      </x:c>
      <x:c r="AB43" s="34" t="n">
        <x:v>3</x:v>
      </x:c>
      <x:c r="AC43" t="str"/>
    </x:row>
    <x:row r="44">
      <x:c r="A44" s="34" t="n">
        <x:v>43</x:v>
      </x:c>
      <x:c r="B44" s="34" t="n">
        <x:v>24</x:v>
      </x:c>
      <x:c r="C44" s="32" t="n">
        <x:v>46177</x:v>
      </x:c>
      <x:c r="D44" t="str">
        <x:v>2026-06</x:v>
      </x:c>
      <x:c r="E44" s="34" t="n">
        <x:v>8</x:v>
      </x:c>
      <x:c r="F44" t="str">
        <x:v>Mariana Pereira</x:v>
      </x:c>
      <x:c r="G44" t="str">
        <x:v>SP</x:v>
      </x:c>
      <x:c r="H44" t="str">
        <x:v>São Paulo</x:v>
      </x:c>
      <x:c r="I44" s="34" t="n">
        <x:v>63</x:v>
      </x:c>
      <x:c r="J44" t="str">
        <x:v>ENTREGUE</x:v>
      </x:c>
      <x:c r="K44" t="str">
        <x:v>Site</x:v>
      </x:c>
      <x:c r="L44" t="str">
        <x:v>Pix</x:v>
      </x:c>
      <x:c r="M44" s="34" t="n">
        <x:v>19</x:v>
      </x:c>
      <x:c r="N44" t="str">
        <x:v>Monitor LED 21.5"</x:v>
      </x:c>
      <x:c r="O44" t="str">
        <x:v>Monitores</x:v>
      </x:c>
      <x:c r="P44" t="str">
        <x:v>Brasil Monitores</x:v>
      </x:c>
      <x:c r="Q44" s="34" t="n">
        <x:v>1</x:v>
      </x:c>
      <x:c r="R44" s="36" t="n">
        <x:v>679.9</x:v>
      </x:c>
      <x:c r="S44" s="38" t="n">
        <x:v>0</x:v>
      </x:c>
      <x:c r="T44" s="36" t="n">
        <x:v>679.9</x:v>
      </x:c>
      <x:c r="U44" s="36" t="n">
        <x:v>679.9</x:v>
      </x:c>
      <x:c r="V44" s="36" t="n">
        <x:v>0</x:v>
      </x:c>
      <x:c r="W44" s="36" t="n">
        <x:v>679.9</x:v>
      </x:c>
      <x:c r="X44" s="36" t="n">
        <x:v>495</x:v>
      </x:c>
      <x:c r="Y44" s="36" t="n">
        <x:v>184.9</x:v>
      </x:c>
      <x:c r="Z44" s="38" t="n">
        <x:v>0.272</x:v>
      </x:c>
      <x:c r="AA44" s="36" t="n">
        <x:v>44.96</x:v>
      </x:c>
      <x:c r="AB44" s="34" t="n">
        <x:v>3</x:v>
      </x:c>
      <x:c r="AC44" t="str"/>
    </x:row>
    <x:row r="45">
      <x:c r="A45" s="34" t="n">
        <x:v>44</x:v>
      </x:c>
      <x:c r="B45" s="34" t="n">
        <x:v>24</x:v>
      </x:c>
      <x:c r="C45" s="32" t="n">
        <x:v>46177</x:v>
      </x:c>
      <x:c r="D45" t="str">
        <x:v>2026-06</x:v>
      </x:c>
      <x:c r="E45" s="34" t="n">
        <x:v>8</x:v>
      </x:c>
      <x:c r="F45" t="str">
        <x:v>Mariana Pereira</x:v>
      </x:c>
      <x:c r="G45" t="str">
        <x:v>SP</x:v>
      </x:c>
      <x:c r="H45" t="str">
        <x:v>São Paulo</x:v>
      </x:c>
      <x:c r="I45" s="34" t="n">
        <x:v>63</x:v>
      </x:c>
      <x:c r="J45" t="str">
        <x:v>ENTREGUE</x:v>
      </x:c>
      <x:c r="K45" t="str">
        <x:v>Site</x:v>
      </x:c>
      <x:c r="L45" t="str">
        <x:v>Pix</x:v>
      </x:c>
      <x:c r="M45" s="34" t="n">
        <x:v>18</x:v>
      </x:c>
      <x:c r="N45" t="str">
        <x:v>Cooler para Processador</x:v>
      </x:c>
      <x:c r="O45" t="str">
        <x:v>Componentes</x:v>
      </x:c>
      <x:c r="P45" t="str">
        <x:v>Mega Componentes</x:v>
      </x:c>
      <x:c r="Q45" s="34" t="n">
        <x:v>3</x:v>
      </x:c>
      <x:c r="R45" s="36" t="n">
        <x:v>99.9</x:v>
      </x:c>
      <x:c r="S45" s="38" t="n">
        <x:v>0</x:v>
      </x:c>
      <x:c r="T45" s="36" t="n">
        <x:v>99.9</x:v>
      </x:c>
      <x:c r="U45" s="36" t="n">
        <x:v>299.7</x:v>
      </x:c>
      <x:c r="V45" s="36" t="n">
        <x:v>0</x:v>
      </x:c>
      <x:c r="W45" s="36" t="n">
        <x:v>299.7</x:v>
      </x:c>
      <x:c r="X45" s="36" t="n">
        <x:v>138</x:v>
      </x:c>
      <x:c r="Y45" s="36" t="n">
        <x:v>161.7</x:v>
      </x:c>
      <x:c r="Z45" s="38" t="n">
        <x:v>0.5395</x:v>
      </x:c>
      <x:c r="AA45" s="36" t="n">
        <x:v>44.96</x:v>
      </x:c>
      <x:c r="AB45" s="34" t="n">
        <x:v>3</x:v>
      </x:c>
      <x:c r="AC45" t="str"/>
    </x:row>
    <x:row r="46">
      <x:c r="A46" s="34" t="n">
        <x:v>45</x:v>
      </x:c>
      <x:c r="B46" s="34" t="n">
        <x:v>25</x:v>
      </x:c>
      <x:c r="C46" s="32" t="n">
        <x:v>46143</x:v>
      </x:c>
      <x:c r="D46" t="str">
        <x:v>2026-05</x:v>
      </x:c>
      <x:c r="E46" s="34" t="n">
        <x:v>6</x:v>
      </x:c>
      <x:c r="F46" t="str">
        <x:v>Yasmin Santos</x:v>
      </x:c>
      <x:c r="G46" t="str">
        <x:v>MG</x:v>
      </x:c>
      <x:c r="H46" t="str">
        <x:v>Uberaba</x:v>
      </x:c>
      <x:c r="I46" s="34" t="n">
        <x:v>52</x:v>
      </x:c>
      <x:c r="J46" t="str">
        <x:v>ENTREGUE</x:v>
      </x:c>
      <x:c r="K46" t="str">
        <x:v>Site</x:v>
      </x:c>
      <x:c r="L46" t="str">
        <x:v>Cartão crédito</x:v>
      </x:c>
      <x:c r="M46" s="34" t="n">
        <x:v>18</x:v>
      </x:c>
      <x:c r="N46" t="str">
        <x:v>Cooler para Processador</x:v>
      </x:c>
      <x:c r="O46" t="str">
        <x:v>Componentes</x:v>
      </x:c>
      <x:c r="P46" t="str">
        <x:v>Mega Componentes</x:v>
      </x:c>
      <x:c r="Q46" s="34" t="n">
        <x:v>1</x:v>
      </x:c>
      <x:c r="R46" s="36" t="n">
        <x:v>99.9</x:v>
      </x:c>
      <x:c r="S46" s="38" t="n">
        <x:v>0</x:v>
      </x:c>
      <x:c r="T46" s="36" t="n">
        <x:v>99.9</x:v>
      </x:c>
      <x:c r="U46" s="36" t="n">
        <x:v>99.9</x:v>
      </x:c>
      <x:c r="V46" s="36" t="n">
        <x:v>0</x:v>
      </x:c>
      <x:c r="W46" s="36" t="n">
        <x:v>99.9</x:v>
      </x:c>
      <x:c r="X46" s="36" t="n">
        <x:v>46</x:v>
      </x:c>
      <x:c r="Y46" s="36" t="n">
        <x:v>53.9</x:v>
      </x:c>
      <x:c r="Z46" s="38" t="n">
        <x:v>0.5395</x:v>
      </x:c>
      <x:c r="AA46" s="36" t="n">
        <x:v>35.88</x:v>
      </x:c>
      <x:c r="AB46" s="34" t="n">
        <x:v>9</x:v>
      </x:c>
      <x:c r="AC46" t="str"/>
    </x:row>
    <x:row r="47">
      <x:c r="A47" s="34" t="n">
        <x:v>46</x:v>
      </x:c>
      <x:c r="B47" s="34" t="n">
        <x:v>26</x:v>
      </x:c>
      <x:c r="C47" s="32" t="n">
        <x:v>46082</x:v>
      </x:c>
      <x:c r="D47" t="str">
        <x:v>2026-03</x:v>
      </x:c>
      <x:c r="E47" s="34" t="n">
        <x:v>49</x:v>
      </x:c>
      <x:c r="F47" t="str">
        <x:v>Caio Ribeiro</x:v>
      </x:c>
      <x:c r="G47" t="str">
        <x:v>BA</x:v>
      </x:c>
      <x:c r="H47" t="str">
        <x:v>Feira de Santana</x:v>
      </x:c>
      <x:c r="I47" s="34" t="n">
        <x:v>43</x:v>
      </x:c>
      <x:c r="J47" t="str">
        <x:v>ENTREGUE</x:v>
      </x:c>
      <x:c r="K47" t="str">
        <x:v>Site</x:v>
      </x:c>
      <x:c r="L47" t="str">
        <x:v>Cartão crédito</x:v>
      </x:c>
      <x:c r="M47" s="34" t="n">
        <x:v>27</x:v>
      </x:c>
      <x:c r="N47" t="str">
        <x:v>Placa de Rede PCIe</x:v>
      </x:c>
      <x:c r="O47" t="str">
        <x:v>Rede</x:v>
      </x:c>
      <x:c r="P47" t="str">
        <x:v>Connect Rede</x:v>
      </x:c>
      <x:c r="Q47" s="34" t="n">
        <x:v>1</x:v>
      </x:c>
      <x:c r="R47" s="36" t="n">
        <x:v>79.9</x:v>
      </x:c>
      <x:c r="S47" s="38" t="n">
        <x:v>0</x:v>
      </x:c>
      <x:c r="T47" s="36" t="n">
        <x:v>79.9</x:v>
      </x:c>
      <x:c r="U47" s="36" t="n">
        <x:v>79.9</x:v>
      </x:c>
      <x:c r="V47" s="36" t="n">
        <x:v>0</x:v>
      </x:c>
      <x:c r="W47" s="36" t="n">
        <x:v>79.9</x:v>
      </x:c>
      <x:c r="X47" s="36" t="n">
        <x:v>37</x:v>
      </x:c>
      <x:c r="Y47" s="36" t="n">
        <x:v>42.9</x:v>
      </x:c>
      <x:c r="Z47" s="38" t="n">
        <x:v>0.5369</x:v>
      </x:c>
      <x:c r="AA47" s="36" t="n">
        <x:v>43.99</x:v>
      </x:c>
      <x:c r="AB47" s="34" t="n">
        <x:v>4</x:v>
      </x:c>
      <x:c r="AC47" t="str"/>
    </x:row>
    <x:row r="48">
      <x:c r="A48" s="34" t="n">
        <x:v>47</x:v>
      </x:c>
      <x:c r="B48" s="34" t="n">
        <x:v>27</x:v>
      </x:c>
      <x:c r="C48" s="32" t="n">
        <x:v>46072</x:v>
      </x:c>
      <x:c r="D48" t="str">
        <x:v>2026-02</x:v>
      </x:c>
      <x:c r="E48" s="34" t="n">
        <x:v>23</x:v>
      </x:c>
      <x:c r="F48" t="str">
        <x:v>Matheus Silva</x:v>
      </x:c>
      <x:c r="G48" t="str">
        <x:v>RJ</x:v>
      </x:c>
      <x:c r="H48" t="str">
        <x:v>Rio de Janeiro</x:v>
      </x:c>
      <x:c r="I48" s="34" t="n">
        <x:v>21</x:v>
      </x:c>
      <x:c r="J48" t="str">
        <x:v>ENTREGUE</x:v>
      </x:c>
      <x:c r="K48" t="str">
        <x:v>Indicação</x:v>
      </x:c>
      <x:c r="L48" t="str">
        <x:v>Pix</x:v>
      </x:c>
      <x:c r="M48" s="34" t="n">
        <x:v>6</x:v>
      </x:c>
      <x:c r="N48" t="str">
        <x:v>Cabo HDMI 2m</x:v>
      </x:c>
      <x:c r="O48" t="str">
        <x:v>Acessórios</x:v>
      </x:c>
      <x:c r="P48" t="str">
        <x:v>Prime Eletrônicos</x:v>
      </x:c>
      <x:c r="Q48" s="34" t="n">
        <x:v>4</x:v>
      </x:c>
      <x:c r="R48" s="36" t="n">
        <x:v>29.9</x:v>
      </x:c>
      <x:c r="S48" s="38" t="n">
        <x:v>0.08</x:v>
      </x:c>
      <x:c r="T48" s="36" t="n">
        <x:v>27.51</x:v>
      </x:c>
      <x:c r="U48" s="36" t="n">
        <x:v>119.6</x:v>
      </x:c>
      <x:c r="V48" s="36" t="n">
        <x:v>9.56</x:v>
      </x:c>
      <x:c r="W48" s="36" t="n">
        <x:v>110.04</x:v>
      </x:c>
      <x:c r="X48" s="36" t="n">
        <x:v>40</x:v>
      </x:c>
      <x:c r="Y48" s="36" t="n">
        <x:v>70.04</x:v>
      </x:c>
      <x:c r="Z48" s="38" t="n">
        <x:v>0.6365</x:v>
      </x:c>
      <x:c r="AA48" s="36" t="n">
        <x:v>37.62</x:v>
      </x:c>
      <x:c r="AB48" s="34" t="n">
        <x:v>2</x:v>
      </x:c>
      <x:c r="AC48" t="str"/>
    </x:row>
    <x:row r="49">
      <x:c r="A49" s="34" t="n">
        <x:v>48</x:v>
      </x:c>
      <x:c r="B49" s="34" t="n">
        <x:v>27</x:v>
      </x:c>
      <x:c r="C49" s="32" t="n">
        <x:v>46072</x:v>
      </x:c>
      <x:c r="D49" t="str">
        <x:v>2026-02</x:v>
      </x:c>
      <x:c r="E49" s="34" t="n">
        <x:v>23</x:v>
      </x:c>
      <x:c r="F49" t="str">
        <x:v>Matheus Silva</x:v>
      </x:c>
      <x:c r="G49" t="str">
        <x:v>RJ</x:v>
      </x:c>
      <x:c r="H49" t="str">
        <x:v>Rio de Janeiro</x:v>
      </x:c>
      <x:c r="I49" s="34" t="n">
        <x:v>21</x:v>
      </x:c>
      <x:c r="J49" t="str">
        <x:v>ENTREGUE</x:v>
      </x:c>
      <x:c r="K49" t="str">
        <x:v>Indicação</x:v>
      </x:c>
      <x:c r="L49" t="str">
        <x:v>Pix</x:v>
      </x:c>
      <x:c r="M49" s="34" t="n">
        <x:v>19</x:v>
      </x:c>
      <x:c r="N49" t="str">
        <x:v>Monitor LED 21.5"</x:v>
      </x:c>
      <x:c r="O49" t="str">
        <x:v>Monitores</x:v>
      </x:c>
      <x:c r="P49" t="str">
        <x:v>Brasil Monitores</x:v>
      </x:c>
      <x:c r="Q49" s="34" t="n">
        <x:v>1</x:v>
      </x:c>
      <x:c r="R49" s="36" t="n">
        <x:v>679.9</x:v>
      </x:c>
      <x:c r="S49" s="38" t="n">
        <x:v>0</x:v>
      </x:c>
      <x:c r="T49" s="36" t="n">
        <x:v>679.9</x:v>
      </x:c>
      <x:c r="U49" s="36" t="n">
        <x:v>679.9</x:v>
      </x:c>
      <x:c r="V49" s="36" t="n">
        <x:v>0</x:v>
      </x:c>
      <x:c r="W49" s="36" t="n">
        <x:v>679.9</x:v>
      </x:c>
      <x:c r="X49" s="36" t="n">
        <x:v>495</x:v>
      </x:c>
      <x:c r="Y49" s="36" t="n">
        <x:v>184.9</x:v>
      </x:c>
      <x:c r="Z49" s="38" t="n">
        <x:v>0.272</x:v>
      </x:c>
      <x:c r="AA49" s="36" t="n">
        <x:v>37.62</x:v>
      </x:c>
      <x:c r="AB49" s="34" t="n">
        <x:v>2</x:v>
      </x:c>
      <x:c r="AC49" t="str"/>
    </x:row>
    <x:row r="50">
      <x:c r="A50" s="34" t="n">
        <x:v>49</x:v>
      </x:c>
      <x:c r="B50" s="34" t="n">
        <x:v>27</x:v>
      </x:c>
      <x:c r="C50" s="32" t="n">
        <x:v>46072</x:v>
      </x:c>
      <x:c r="D50" t="str">
        <x:v>2026-02</x:v>
      </x:c>
      <x:c r="E50" s="34" t="n">
        <x:v>23</x:v>
      </x:c>
      <x:c r="F50" t="str">
        <x:v>Matheus Silva</x:v>
      </x:c>
      <x:c r="G50" t="str">
        <x:v>RJ</x:v>
      </x:c>
      <x:c r="H50" t="str">
        <x:v>Rio de Janeiro</x:v>
      </x:c>
      <x:c r="I50" s="34" t="n">
        <x:v>21</x:v>
      </x:c>
      <x:c r="J50" t="str">
        <x:v>ENTREGUE</x:v>
      </x:c>
      <x:c r="K50" t="str">
        <x:v>Indicação</x:v>
      </x:c>
      <x:c r="L50" t="str">
        <x:v>Pix</x:v>
      </x:c>
      <x:c r="M50" s="34" t="n">
        <x:v>11</x:v>
      </x:c>
      <x:c r="N50" t="str">
        <x:v>SSD NVMe 500GB</x:v>
      </x:c>
      <x:c r="O50" t="str">
        <x:v>Armazenamento</x:v>
      </x:c>
      <x:c r="P50" t="str">
        <x:v>FastHardware</x:v>
      </x:c>
      <x:c r="Q50" s="34" t="n">
        <x:v>2</x:v>
      </x:c>
      <x:c r="R50" s="36" t="n">
        <x:v>329.9</x:v>
      </x:c>
      <x:c r="S50" s="38" t="n">
        <x:v>0</x:v>
      </x:c>
      <x:c r="T50" s="36" t="n">
        <x:v>329.9</x:v>
      </x:c>
      <x:c r="U50" s="36" t="n">
        <x:v>659.8</x:v>
      </x:c>
      <x:c r="V50" s="36" t="n">
        <x:v>0</x:v>
      </x:c>
      <x:c r="W50" s="36" t="n">
        <x:v>659.8</x:v>
      </x:c>
      <x:c r="X50" s="36" t="n">
        <x:v>410</x:v>
      </x:c>
      <x:c r="Y50" s="36" t="n">
        <x:v>249.8</x:v>
      </x:c>
      <x:c r="Z50" s="38" t="n">
        <x:v>0.3786</x:v>
      </x:c>
      <x:c r="AA50" s="36" t="n">
        <x:v>37.62</x:v>
      </x:c>
      <x:c r="AB50" s="34" t="n">
        <x:v>2</x:v>
      </x:c>
      <x:c r="AC50" t="str"/>
    </x:row>
    <x:row r="51">
      <x:c r="A51" s="34" t="n">
        <x:v>50</x:v>
      </x:c>
      <x:c r="B51" s="34" t="n">
        <x:v>28</x:v>
      </x:c>
      <x:c r="C51" s="32" t="n">
        <x:v>46157</x:v>
      </x:c>
      <x:c r="D51" t="str">
        <x:v>2026-05</x:v>
      </x:c>
      <x:c r="E51" s="34" t="n">
        <x:v>1</x:v>
      </x:c>
      <x:c r="F51" t="str">
        <x:v>Nicolas Souza</x:v>
      </x:c>
      <x:c r="G51" t="str">
        <x:v>SP</x:v>
      </x:c>
      <x:c r="H51" t="str">
        <x:v>Mirassol</x:v>
      </x:c>
      <x:c r="I51" s="34" t="n">
        <x:v>18</x:v>
      </x:c>
      <x:c r="J51" t="str">
        <x:v>ENTREGUE</x:v>
      </x:c>
      <x:c r="K51" t="str">
        <x:v>Site</x:v>
      </x:c>
      <x:c r="L51" t="str">
        <x:v>Pix</x:v>
      </x:c>
      <x:c r="M51" s="34" t="n">
        <x:v>3</x:v>
      </x:c>
      <x:c r="N51" t="str">
        <x:v>Headset Gamer P2</x:v>
      </x:c>
      <x:c r="O51" t="str">
        <x:v>Periféricos</x:v>
      </x:c>
      <x:c r="P51" t="str">
        <x:v>FastHardware</x:v>
      </x:c>
      <x:c r="Q51" s="34" t="n">
        <x:v>1</x:v>
      </x:c>
      <x:c r="R51" s="36" t="n">
        <x:v>159.9</x:v>
      </x:c>
      <x:c r="S51" s="38" t="n">
        <x:v>0</x:v>
      </x:c>
      <x:c r="T51" s="36" t="n">
        <x:v>159.9</x:v>
      </x:c>
      <x:c r="U51" s="36" t="n">
        <x:v>159.9</x:v>
      </x:c>
      <x:c r="V51" s="36" t="n">
        <x:v>0</x:v>
      </x:c>
      <x:c r="W51" s="36" t="n">
        <x:v>159.9</x:v>
      </x:c>
      <x:c r="X51" s="36" t="n">
        <x:v>84</x:v>
      </x:c>
      <x:c r="Y51" s="36" t="n">
        <x:v>75.9</x:v>
      </x:c>
      <x:c r="Z51" s="38" t="n">
        <x:v>0.4747</x:v>
      </x:c>
      <x:c r="AA51" s="36" t="n">
        <x:v>19.79</x:v>
      </x:c>
      <x:c r="AB51" s="34" t="n">
        <x:v>4</x:v>
      </x:c>
      <x:c r="AC51" t="str"/>
    </x:row>
    <x:row r="52">
      <x:c r="A52" s="34" t="n">
        <x:v>51</x:v>
      </x:c>
      <x:c r="B52" s="34" t="n">
        <x:v>29</x:v>
      </x:c>
      <x:c r="C52" s="32" t="n">
        <x:v>46171</x:v>
      </x:c>
      <x:c r="D52" t="str">
        <x:v>2026-05</x:v>
      </x:c>
      <x:c r="E52" s="34" t="n">
        <x:v>11</x:v>
      </x:c>
      <x:c r="F52" t="str">
        <x:v>Felipe Martins</x:v>
      </x:c>
      <x:c r="G52" t="str">
        <x:v>RJ</x:v>
      </x:c>
      <x:c r="H52" t="str">
        <x:v>Rio de Janeiro</x:v>
      </x:c>
      <x:c r="I52" s="34" t="n">
        <x:v>42</x:v>
      </x:c>
      <x:c r="J52" t="str">
        <x:v>ENTREGUE</x:v>
      </x:c>
      <x:c r="K52" t="str">
        <x:v>WhatsApp</x:v>
      </x:c>
      <x:c r="L52" t="str">
        <x:v>Pix</x:v>
      </x:c>
      <x:c r="M52" s="34" t="n">
        <x:v>18</x:v>
      </x:c>
      <x:c r="N52" t="str">
        <x:v>Cooler para Processador</x:v>
      </x:c>
      <x:c r="O52" t="str">
        <x:v>Componentes</x:v>
      </x:c>
      <x:c r="P52" t="str">
        <x:v>Mega Componentes</x:v>
      </x:c>
      <x:c r="Q52" s="34" t="n">
        <x:v>1</x:v>
      </x:c>
      <x:c r="R52" s="36" t="n">
        <x:v>99.9</x:v>
      </x:c>
      <x:c r="S52" s="38" t="n">
        <x:v>0.05</x:v>
      </x:c>
      <x:c r="T52" s="36" t="n">
        <x:v>94.91</x:v>
      </x:c>
      <x:c r="U52" s="36" t="n">
        <x:v>99.9</x:v>
      </x:c>
      <x:c r="V52" s="36" t="n">
        <x:v>4.99</x:v>
      </x:c>
      <x:c r="W52" s="36" t="n">
        <x:v>94.91</x:v>
      </x:c>
      <x:c r="X52" s="36" t="n">
        <x:v>46</x:v>
      </x:c>
      <x:c r="Y52" s="36" t="n">
        <x:v>48.91</x:v>
      </x:c>
      <x:c r="Z52" s="38" t="n">
        <x:v>0.5153</x:v>
      </x:c>
      <x:c r="AA52" s="36" t="n">
        <x:v>12</x:v>
      </x:c>
      <x:c r="AB52" s="34" t="n">
        <x:v>5</x:v>
      </x:c>
      <x:c r="AC52" t="str"/>
    </x:row>
    <x:row r="53">
      <x:c r="A53" s="34" t="n">
        <x:v>52</x:v>
      </x:c>
      <x:c r="B53" s="34" t="n">
        <x:v>30</x:v>
      </x:c>
      <x:c r="C53" s="32" t="n">
        <x:v>46067</x:v>
      </x:c>
      <x:c r="D53" t="str">
        <x:v>2026-02</x:v>
      </x:c>
      <x:c r="E53" s="34" t="n">
        <x:v>43</x:v>
      </x:c>
      <x:c r="F53" t="str">
        <x:v>Caio Souza</x:v>
      </x:c>
      <x:c r="G53" t="str">
        <x:v>SP</x:v>
      </x:c>
      <x:c r="H53" t="str">
        <x:v>Mirassol</x:v>
      </x:c>
      <x:c r="I53" s="34" t="n">
        <x:v>22</x:v>
      </x:c>
      <x:c r="J53" t="str">
        <x:v>ENTREGUE</x:v>
      </x:c>
      <x:c r="K53" t="str">
        <x:v>Site</x:v>
      </x:c>
      <x:c r="L53" t="str">
        <x:v>Pix</x:v>
      </x:c>
      <x:c r="M53" s="34" t="n">
        <x:v>13</x:v>
      </x:c>
      <x:c r="N53" t="str">
        <x:v>Memória RAM 8GB DDR4</x:v>
      </x:c>
      <x:c r="O53" t="str">
        <x:v>Componentes</x:v>
      </x:c>
      <x:c r="P53" t="str">
        <x:v>Mega Componentes</x:v>
      </x:c>
      <x:c r="Q53" s="34" t="n">
        <x:v>1</x:v>
      </x:c>
      <x:c r="R53" s="36" t="n">
        <x:v>179.9</x:v>
      </x:c>
      <x:c r="S53" s="38" t="n">
        <x:v>0.03</x:v>
      </x:c>
      <x:c r="T53" s="36" t="n">
        <x:v>174.5</x:v>
      </x:c>
      <x:c r="U53" s="36" t="n">
        <x:v>179.9</x:v>
      </x:c>
      <x:c r="V53" s="36" t="n">
        <x:v>5.4</x:v>
      </x:c>
      <x:c r="W53" s="36" t="n">
        <x:v>174.5</x:v>
      </x:c>
      <x:c r="X53" s="36" t="n">
        <x:v>107</x:v>
      </x:c>
      <x:c r="Y53" s="36" t="n">
        <x:v>67.5</x:v>
      </x:c>
      <x:c r="Z53" s="38" t="n">
        <x:v>0.3868</x:v>
      </x:c>
      <x:c r="AA53" s="36" t="n">
        <x:v>34.17</x:v>
      </x:c>
      <x:c r="AB53" s="34" t="n">
        <x:v>3</x:v>
      </x:c>
      <x:c r="AC53" t="str"/>
    </x:row>
    <x:row r="54">
      <x:c r="A54" s="34" t="n">
        <x:v>53</x:v>
      </x:c>
      <x:c r="B54" s="34" t="n">
        <x:v>31</x:v>
      </x:c>
      <x:c r="C54" s="32" t="n">
        <x:v>46177</x:v>
      </x:c>
      <x:c r="D54" t="str">
        <x:v>2026-06</x:v>
      </x:c>
      <x:c r="E54" s="34" t="n">
        <x:v>20</x:v>
      </x:c>
      <x:c r="F54" t="str">
        <x:v>Henrique Silva</x:v>
      </x:c>
      <x:c r="G54" t="str">
        <x:v>SP</x:v>
      </x:c>
      <x:c r="H54" t="str">
        <x:v>Ribeirão Preto</x:v>
      </x:c>
      <x:c r="I54" s="34" t="n">
        <x:v>21</x:v>
      </x:c>
      <x:c r="J54" t="str">
        <x:v>ENTREGUE</x:v>
      </x:c>
      <x:c r="K54" t="str">
        <x:v>Site</x:v>
      </x:c>
      <x:c r="L54" t="str">
        <x:v>Pix</x:v>
      </x:c>
      <x:c r="M54" s="34" t="n">
        <x:v>7</x:v>
      </x:c>
      <x:c r="N54" t="str">
        <x:v>Adaptador USB-C HDMI</x:v>
      </x:c>
      <x:c r="O54" t="str">
        <x:v>Acessórios</x:v>
      </x:c>
      <x:c r="P54" t="str">
        <x:v>Prime Eletrônicos</x:v>
      </x:c>
      <x:c r="Q54" s="34" t="n">
        <x:v>1</x:v>
      </x:c>
      <x:c r="R54" s="36" t="n">
        <x:v>119.9</x:v>
      </x:c>
      <x:c r="S54" s="38" t="n">
        <x:v>0</x:v>
      </x:c>
      <x:c r="T54" s="36" t="n">
        <x:v>119.9</x:v>
      </x:c>
      <x:c r="U54" s="36" t="n">
        <x:v>119.9</x:v>
      </x:c>
      <x:c r="V54" s="36" t="n">
        <x:v>0</x:v>
      </x:c>
      <x:c r="W54" s="36" t="n">
        <x:v>119.9</x:v>
      </x:c>
      <x:c r="X54" s="36" t="n">
        <x:v>58</x:v>
      </x:c>
      <x:c r="Y54" s="36" t="n">
        <x:v>61.9</x:v>
      </x:c>
      <x:c r="Z54" s="38" t="n">
        <x:v>0.5163</x:v>
      </x:c>
      <x:c r="AA54" s="36" t="n">
        <x:v>31.07</x:v>
      </x:c>
      <x:c r="AB54" s="34" t="n">
        <x:v>4</x:v>
      </x:c>
      <x:c r="AC54" t="str"/>
    </x:row>
    <x:row r="55">
      <x:c r="A55" s="34" t="n">
        <x:v>54</x:v>
      </x:c>
      <x:c r="B55" s="34" t="n">
        <x:v>32</x:v>
      </x:c>
      <x:c r="C55" s="32" t="n">
        <x:v>46047</x:v>
      </x:c>
      <x:c r="D55" t="str">
        <x:v>2026-01</x:v>
      </x:c>
      <x:c r="E55" s="34" t="n">
        <x:v>48</x:v>
      </x:c>
      <x:c r="F55" t="str">
        <x:v>Caio Rodrigues</x:v>
      </x:c>
      <x:c r="G55" t="str">
        <x:v>SP</x:v>
      </x:c>
      <x:c r="H55" t="str">
        <x:v>Ribeirão Preto</x:v>
      </x:c>
      <x:c r="I55" s="34" t="n">
        <x:v>36</x:v>
      </x:c>
      <x:c r="J55" t="str">
        <x:v>PENDENTE</x:v>
      </x:c>
      <x:c r="K55" t="str">
        <x:v>Site</x:v>
      </x:c>
      <x:c r="L55" t="str">
        <x:v>Cartão crédito</x:v>
      </x:c>
      <x:c r="M55" s="34" t="n">
        <x:v>2</x:v>
      </x:c>
      <x:c r="N55" t="str">
        <x:v>Teclado Membrana ABNT2</x:v>
      </x:c>
      <x:c r="O55" t="str">
        <x:v>Periféricos</x:v>
      </x:c>
      <x:c r="P55" t="str">
        <x:v>TechDistribuidora Brasil</x:v>
      </x:c>
      <x:c r="Q55" s="34" t="n">
        <x:v>1</x:v>
      </x:c>
      <x:c r="R55" s="36" t="n">
        <x:v>89.9</x:v>
      </x:c>
      <x:c r="S55" s="38" t="n">
        <x:v>0</x:v>
      </x:c>
      <x:c r="T55" s="36" t="n">
        <x:v>89.9</x:v>
      </x:c>
      <x:c r="U55" s="36" t="n">
        <x:v>89.9</x:v>
      </x:c>
      <x:c r="V55" s="36" t="n">
        <x:v>0</x:v>
      </x:c>
      <x:c r="W55" s="36" t="n">
        <x:v>89.9</x:v>
      </x:c>
      <x:c r="X55" s="36" t="n">
        <x:v>48</x:v>
      </x:c>
      <x:c r="Y55" s="36" t="n">
        <x:v>41.9</x:v>
      </x:c>
      <x:c r="Z55" s="38" t="n">
        <x:v>0.4661</x:v>
      </x:c>
      <x:c r="AA55" s="36" t="n">
        <x:v>40.49</x:v>
      </x:c>
      <x:c r="AB55" s="34"/>
      <x:c r="AC55" t="str"/>
    </x:row>
    <x:row r="56">
      <x:c r="A56" s="34" t="n">
        <x:v>55</x:v>
      </x:c>
      <x:c r="B56" s="34" t="n">
        <x:v>33</x:v>
      </x:c>
      <x:c r="C56" s="32" t="n">
        <x:v>46125</x:v>
      </x:c>
      <x:c r="D56" t="str">
        <x:v>2026-04</x:v>
      </x:c>
      <x:c r="E56" s="34" t="n">
        <x:v>48</x:v>
      </x:c>
      <x:c r="F56" t="str">
        <x:v>Caio Rodrigues</x:v>
      </x:c>
      <x:c r="G56" t="str">
        <x:v>SP</x:v>
      </x:c>
      <x:c r="H56" t="str">
        <x:v>Ribeirão Preto</x:v>
      </x:c>
      <x:c r="I56" s="34" t="n">
        <x:v>36</x:v>
      </x:c>
      <x:c r="J56" t="str">
        <x:v>ENTREGUE</x:v>
      </x:c>
      <x:c r="K56" t="str">
        <x:v>Indicação</x:v>
      </x:c>
      <x:c r="L56" t="str">
        <x:v>Cartão crédito</x:v>
      </x:c>
      <x:c r="M56" s="34" t="n">
        <x:v>1</x:v>
      </x:c>
      <x:c r="N56" t="str">
        <x:v>Mouse Óptico USB</x:v>
      </x:c>
      <x:c r="O56" t="str">
        <x:v>Periféricos</x:v>
      </x:c>
      <x:c r="P56" t="str">
        <x:v>TechDistribuidora Brasil</x:v>
      </x:c>
      <x:c r="Q56" s="34" t="n">
        <x:v>1</x:v>
      </x:c>
      <x:c r="R56" s="36" t="n">
        <x:v>49.9</x:v>
      </x:c>
      <x:c r="S56" s="38" t="n">
        <x:v>0</x:v>
      </x:c>
      <x:c r="T56" s="36" t="n">
        <x:v>49.9</x:v>
      </x:c>
      <x:c r="U56" s="36" t="n">
        <x:v>49.9</x:v>
      </x:c>
      <x:c r="V56" s="36" t="n">
        <x:v>0</x:v>
      </x:c>
      <x:c r="W56" s="36" t="n">
        <x:v>49.9</x:v>
      </x:c>
      <x:c r="X56" s="36" t="n">
        <x:v>25</x:v>
      </x:c>
      <x:c r="Y56" s="36" t="n">
        <x:v>24.9</x:v>
      </x:c>
      <x:c r="Z56" s="38" t="n">
        <x:v>0.499</x:v>
      </x:c>
      <x:c r="AA56" s="36" t="n">
        <x:v>16.92</x:v>
      </x:c>
      <x:c r="AB56" s="34" t="n">
        <x:v>3</x:v>
      </x:c>
      <x:c r="AC56" t="str"/>
    </x:row>
    <x:row r="57">
      <x:c r="A57" s="34" t="n">
        <x:v>56</x:v>
      </x:c>
      <x:c r="B57" s="34" t="n">
        <x:v>34</x:v>
      </x:c>
      <x:c r="C57" s="32" t="n">
        <x:v>46101</x:v>
      </x:c>
      <x:c r="D57" t="str">
        <x:v>2026-03</x:v>
      </x:c>
      <x:c r="E57" s="34" t="n">
        <x:v>21</x:v>
      </x:c>
      <x:c r="F57" t="str">
        <x:v>Henrique Pereira</x:v>
      </x:c>
      <x:c r="G57" t="str">
        <x:v>RJ</x:v>
      </x:c>
      <x:c r="H57" t="str">
        <x:v>Rio de Janeiro</x:v>
      </x:c>
      <x:c r="I57" s="34" t="n">
        <x:v>52</x:v>
      </x:c>
      <x:c r="J57" t="str">
        <x:v>PENDENTE</x:v>
      </x:c>
      <x:c r="K57" t="str">
        <x:v>Instagram</x:v>
      </x:c>
      <x:c r="L57" t="str">
        <x:v>Pix</x:v>
      </x:c>
      <x:c r="M57" s="34" t="n">
        <x:v>28</x:v>
      </x:c>
      <x:c r="N57" t="str">
        <x:v>Repetidor Wi-Fi</x:v>
      </x:c>
      <x:c r="O57" t="str">
        <x:v>Rede</x:v>
      </x:c>
      <x:c r="P57" t="str">
        <x:v>Connect Rede</x:v>
      </x:c>
      <x:c r="Q57" s="34" t="n">
        <x:v>1</x:v>
      </x:c>
      <x:c r="R57" s="36" t="n">
        <x:v>139.9</x:v>
      </x:c>
      <x:c r="S57" s="38" t="n">
        <x:v>0</x:v>
      </x:c>
      <x:c r="T57" s="36" t="n">
        <x:v>139.9</x:v>
      </x:c>
      <x:c r="U57" s="36" t="n">
        <x:v>139.9</x:v>
      </x:c>
      <x:c r="V57" s="36" t="n">
        <x:v>0</x:v>
      </x:c>
      <x:c r="W57" s="36" t="n">
        <x:v>139.9</x:v>
      </x:c>
      <x:c r="X57" s="36" t="n">
        <x:v>69</x:v>
      </x:c>
      <x:c r="Y57" s="36" t="n">
        <x:v>70.9</x:v>
      </x:c>
      <x:c r="Z57" s="38" t="n">
        <x:v>0.5068</x:v>
      </x:c>
      <x:c r="AA57" s="36" t="n">
        <x:v>23</x:v>
      </x:c>
      <x:c r="AB57" s="34"/>
      <x:c r="AC57" t="str"/>
    </x:row>
    <x:row r="58">
      <x:c r="A58" s="34" t="n">
        <x:v>57</x:v>
      </x:c>
      <x:c r="B58" s="34" t="n">
        <x:v>35</x:v>
      </x:c>
      <x:c r="C58" s="32" t="n">
        <x:v>46148</x:v>
      </x:c>
      <x:c r="D58" t="str">
        <x:v>2026-05</x:v>
      </x:c>
      <x:c r="E58" s="34" t="n">
        <x:v>56</x:v>
      </x:c>
      <x:c r="F58" t="str">
        <x:v>Olívia Lima</x:v>
      </x:c>
      <x:c r="G58" t="str">
        <x:v>SC</x:v>
      </x:c>
      <x:c r="H58" t="str">
        <x:v>Florianópolis</x:v>
      </x:c>
      <x:c r="I58" s="34" t="n">
        <x:v>53</x:v>
      </x:c>
      <x:c r="J58" t="str">
        <x:v>EM PROCESSAMENTO</x:v>
      </x:c>
      <x:c r="K58" t="str">
        <x:v>Site</x:v>
      </x:c>
      <x:c r="L58" t="str">
        <x:v>Cartão crédito</x:v>
      </x:c>
      <x:c r="M58" s="34" t="n">
        <x:v>6</x:v>
      </x:c>
      <x:c r="N58" t="str">
        <x:v>Cabo HDMI 2m</x:v>
      </x:c>
      <x:c r="O58" t="str">
        <x:v>Acessórios</x:v>
      </x:c>
      <x:c r="P58" t="str">
        <x:v>Prime Eletrônicos</x:v>
      </x:c>
      <x:c r="Q58" s="34" t="n">
        <x:v>1</x:v>
      </x:c>
      <x:c r="R58" s="36" t="n">
        <x:v>29.9</x:v>
      </x:c>
      <x:c r="S58" s="38" t="n">
        <x:v>0.03</x:v>
      </x:c>
      <x:c r="T58" s="36" t="n">
        <x:v>29</x:v>
      </x:c>
      <x:c r="U58" s="36" t="n">
        <x:v>29.9</x:v>
      </x:c>
      <x:c r="V58" s="36" t="n">
        <x:v>0.9</x:v>
      </x:c>
      <x:c r="W58" s="36" t="n">
        <x:v>29</x:v>
      </x:c>
      <x:c r="X58" s="36" t="n">
        <x:v>10</x:v>
      </x:c>
      <x:c r="Y58" s="36" t="n">
        <x:v>19</x:v>
      </x:c>
      <x:c r="Z58" s="38" t="n">
        <x:v>0.6552</x:v>
      </x:c>
      <x:c r="AA58" s="36" t="n">
        <x:v>42.63</x:v>
      </x:c>
      <x:c r="AB58" s="34"/>
      <x:c r="AC58" t="str"/>
    </x:row>
    <x:row r="59">
      <x:c r="A59" s="34" t="n">
        <x:v>58</x:v>
      </x:c>
      <x:c r="B59" s="34" t="n">
        <x:v>36</x:v>
      </x:c>
      <x:c r="C59" s="32" t="n">
        <x:v>46174</x:v>
      </x:c>
      <x:c r="D59" t="str">
        <x:v>2026-06</x:v>
      </x:c>
      <x:c r="E59" s="34" t="n">
        <x:v>23</x:v>
      </x:c>
      <x:c r="F59" t="str">
        <x:v>Matheus Silva</x:v>
      </x:c>
      <x:c r="G59" t="str">
        <x:v>RJ</x:v>
      </x:c>
      <x:c r="H59" t="str">
        <x:v>Rio de Janeiro</x:v>
      </x:c>
      <x:c r="I59" s="34" t="n">
        <x:v>21</x:v>
      </x:c>
      <x:c r="J59" t="str">
        <x:v>ENTREGUE</x:v>
      </x:c>
      <x:c r="K59" t="str">
        <x:v>Site</x:v>
      </x:c>
      <x:c r="L59" t="str">
        <x:v>Pix</x:v>
      </x:c>
      <x:c r="M59" s="34" t="n">
        <x:v>28</x:v>
      </x:c>
      <x:c r="N59" t="str">
        <x:v>Repetidor Wi-Fi</x:v>
      </x:c>
      <x:c r="O59" t="str">
        <x:v>Rede</x:v>
      </x:c>
      <x:c r="P59" t="str">
        <x:v>Connect Rede</x:v>
      </x:c>
      <x:c r="Q59" s="34" t="n">
        <x:v>1</x:v>
      </x:c>
      <x:c r="R59" s="36" t="n">
        <x:v>139.9</x:v>
      </x:c>
      <x:c r="S59" s="38" t="n">
        <x:v>0.05</x:v>
      </x:c>
      <x:c r="T59" s="36" t="n">
        <x:v>132.91</x:v>
      </x:c>
      <x:c r="U59" s="36" t="n">
        <x:v>139.9</x:v>
      </x:c>
      <x:c r="V59" s="36" t="n">
        <x:v>6.99</x:v>
      </x:c>
      <x:c r="W59" s="36" t="n">
        <x:v>132.91</x:v>
      </x:c>
      <x:c r="X59" s="36" t="n">
        <x:v>69</x:v>
      </x:c>
      <x:c r="Y59" s="36" t="n">
        <x:v>63.91</x:v>
      </x:c>
      <x:c r="Z59" s="38" t="n">
        <x:v>0.4809</x:v>
      </x:c>
      <x:c r="AA59" s="36" t="n">
        <x:v>39.98</x:v>
      </x:c>
      <x:c r="AB59" s="34" t="n">
        <x:v>5</x:v>
      </x:c>
      <x:c r="AC59" t="str"/>
    </x:row>
    <x:row r="60">
      <x:c r="A60" s="34" t="n">
        <x:v>59</x:v>
      </x:c>
      <x:c r="B60" s="34" t="n">
        <x:v>37</x:v>
      </x:c>
      <x:c r="C60" s="32" t="n">
        <x:v>46062</x:v>
      </x:c>
      <x:c r="D60" t="str">
        <x:v>2026-02</x:v>
      </x:c>
      <x:c r="E60" s="34" t="n">
        <x:v>50</x:v>
      </x:c>
      <x:c r="F60" t="str">
        <x:v>Rodrigo Lima</x:v>
      </x:c>
      <x:c r="G60" t="str">
        <x:v>MG</x:v>
      </x:c>
      <x:c r="H60" t="str">
        <x:v>Uberlândia</x:v>
      </x:c>
      <x:c r="I60" s="34" t="n">
        <x:v>47</x:v>
      </x:c>
      <x:c r="J60" t="str">
        <x:v>EM PROCESSAMENTO</x:v>
      </x:c>
      <x:c r="K60" t="str">
        <x:v>Marketplace</x:v>
      </x:c>
      <x:c r="L60" t="str">
        <x:v>Pix</x:v>
      </x:c>
      <x:c r="M60" s="34" t="n">
        <x:v>8</x:v>
      </x:c>
      <x:c r="N60" t="str">
        <x:v>Suporte Articulado para Monitor</x:v>
      </x:c>
      <x:c r="O60" t="str">
        <x:v>Acessórios</x:v>
      </x:c>
      <x:c r="P60" t="str">
        <x:v>OfficeTech Supply</x:v>
      </x:c>
      <x:c r="Q60" s="34" t="n">
        <x:v>5</x:v>
      </x:c>
      <x:c r="R60" s="36" t="n">
        <x:v>149.9</x:v>
      </x:c>
      <x:c r="S60" s="38" t="n">
        <x:v>0</x:v>
      </x:c>
      <x:c r="T60" s="36" t="n">
        <x:v>149.9</x:v>
      </x:c>
      <x:c r="U60" s="36" t="n">
        <x:v>749.5</x:v>
      </x:c>
      <x:c r="V60" s="36" t="n">
        <x:v>0</x:v>
      </x:c>
      <x:c r="W60" s="36" t="n">
        <x:v>749.5</x:v>
      </x:c>
      <x:c r="X60" s="36" t="n">
        <x:v>365</x:v>
      </x:c>
      <x:c r="Y60" s="36" t="n">
        <x:v>384.5</x:v>
      </x:c>
      <x:c r="Z60" s="38" t="n">
        <x:v>0.513</x:v>
      </x:c>
      <x:c r="AA60" s="36" t="n">
        <x:v>12</x:v>
      </x:c>
      <x:c r="AB60" s="34"/>
      <x:c r="AC60" t="str"/>
    </x:row>
    <x:row r="61">
      <x:c r="A61" s="34" t="n">
        <x:v>60</x:v>
      </x:c>
      <x:c r="B61" s="34" t="n">
        <x:v>37</x:v>
      </x:c>
      <x:c r="C61" s="32" t="n">
        <x:v>46062</x:v>
      </x:c>
      <x:c r="D61" t="str">
        <x:v>2026-02</x:v>
      </x:c>
      <x:c r="E61" s="34" t="n">
        <x:v>50</x:v>
      </x:c>
      <x:c r="F61" t="str">
        <x:v>Rodrigo Lima</x:v>
      </x:c>
      <x:c r="G61" t="str">
        <x:v>MG</x:v>
      </x:c>
      <x:c r="H61" t="str">
        <x:v>Uberlândia</x:v>
      </x:c>
      <x:c r="I61" s="34" t="n">
        <x:v>47</x:v>
      </x:c>
      <x:c r="J61" t="str">
        <x:v>EM PROCESSAMENTO</x:v>
      </x:c>
      <x:c r="K61" t="str">
        <x:v>Marketplace</x:v>
      </x:c>
      <x:c r="L61" t="str">
        <x:v>Pix</x:v>
      </x:c>
      <x:c r="M61" s="34" t="n">
        <x:v>11</x:v>
      </x:c>
      <x:c r="N61" t="str">
        <x:v>SSD NVMe 500GB</x:v>
      </x:c>
      <x:c r="O61" t="str">
        <x:v>Armazenamento</x:v>
      </x:c>
      <x:c r="P61" t="str">
        <x:v>FastHardware</x:v>
      </x:c>
      <x:c r="Q61" s="34" t="n">
        <x:v>1</x:v>
      </x:c>
      <x:c r="R61" s="36" t="n">
        <x:v>329.9</x:v>
      </x:c>
      <x:c r="S61" s="38" t="n">
        <x:v>0</x:v>
      </x:c>
      <x:c r="T61" s="36" t="n">
        <x:v>329.9</x:v>
      </x:c>
      <x:c r="U61" s="36" t="n">
        <x:v>329.9</x:v>
      </x:c>
      <x:c r="V61" s="36" t="n">
        <x:v>0</x:v>
      </x:c>
      <x:c r="W61" s="36" t="n">
        <x:v>329.9</x:v>
      </x:c>
      <x:c r="X61" s="36" t="n">
        <x:v>205</x:v>
      </x:c>
      <x:c r="Y61" s="36" t="n">
        <x:v>124.9</x:v>
      </x:c>
      <x:c r="Z61" s="38" t="n">
        <x:v>0.3786</x:v>
      </x:c>
      <x:c r="AA61" s="36" t="n">
        <x:v>12</x:v>
      </x:c>
      <x:c r="AB61" s="34"/>
      <x:c r="AC61" t="str"/>
    </x:row>
    <x:row r="62">
      <x:c r="A62" s="34" t="n">
        <x:v>61</x:v>
      </x:c>
      <x:c r="B62" s="34" t="n">
        <x:v>38</x:v>
      </x:c>
      <x:c r="C62" s="32" t="n">
        <x:v>46084</x:v>
      </x:c>
      <x:c r="D62" t="str">
        <x:v>2026-03</x:v>
      </x:c>
      <x:c r="E62" s="34" t="n">
        <x:v>51</x:v>
      </x:c>
      <x:c r="F62" t="str">
        <x:v>Sofia Martins</x:v>
      </x:c>
      <x:c r="G62" t="str">
        <x:v>PR</x:v>
      </x:c>
      <x:c r="H62" t="str">
        <x:v>Curitiba</x:v>
      </x:c>
      <x:c r="I62" s="34" t="n">
        <x:v>23</x:v>
      </x:c>
      <x:c r="J62" t="str">
        <x:v>ENTREGUE</x:v>
      </x:c>
      <x:c r="K62" t="str">
        <x:v>Site</x:v>
      </x:c>
      <x:c r="L62" t="str">
        <x:v>Cartão débito</x:v>
      </x:c>
      <x:c r="M62" s="34" t="n">
        <x:v>1</x:v>
      </x:c>
      <x:c r="N62" t="str">
        <x:v>Mouse Óptico USB</x:v>
      </x:c>
      <x:c r="O62" t="str">
        <x:v>Periféricos</x:v>
      </x:c>
      <x:c r="P62" t="str">
        <x:v>TechDistribuidora Brasil</x:v>
      </x:c>
      <x:c r="Q62" s="34" t="n">
        <x:v>1</x:v>
      </x:c>
      <x:c r="R62" s="36" t="n">
        <x:v>49.9</x:v>
      </x:c>
      <x:c r="S62" s="38" t="n">
        <x:v>0.08</x:v>
      </x:c>
      <x:c r="T62" s="36" t="n">
        <x:v>45.91</x:v>
      </x:c>
      <x:c r="U62" s="36" t="n">
        <x:v>49.9</x:v>
      </x:c>
      <x:c r="V62" s="36" t="n">
        <x:v>3.99</x:v>
      </x:c>
      <x:c r="W62" s="36" t="n">
        <x:v>45.91</x:v>
      </x:c>
      <x:c r="X62" s="36" t="n">
        <x:v>25</x:v>
      </x:c>
      <x:c r="Y62" s="36" t="n">
        <x:v>20.91</x:v>
      </x:c>
      <x:c r="Z62" s="38" t="n">
        <x:v>0.4555</x:v>
      </x:c>
      <x:c r="AA62" s="36" t="n">
        <x:v>12</x:v>
      </x:c>
      <x:c r="AB62" s="34" t="n">
        <x:v>4</x:v>
      </x:c>
      <x:c r="AC62" t="str"/>
    </x:row>
    <x:row r="63">
      <x:c r="A63" s="34" t="n">
        <x:v>62</x:v>
      </x:c>
      <x:c r="B63" s="34" t="n">
        <x:v>39</x:v>
      </x:c>
      <x:c r="C63" s="32" t="n">
        <x:v>46071</x:v>
      </x:c>
      <x:c r="D63" t="str">
        <x:v>2026-02</x:v>
      </x:c>
      <x:c r="E63" s="34" t="n">
        <x:v>40</x:v>
      </x:c>
      <x:c r="F63" t="str">
        <x:v>Samuel Araujo</x:v>
      </x:c>
      <x:c r="G63" t="str">
        <x:v>GO</x:v>
      </x:c>
      <x:c r="H63" t="str">
        <x:v>Goiânia</x:v>
      </x:c>
      <x:c r="I63" s="34" t="n">
        <x:v>33</x:v>
      </x:c>
      <x:c r="J63" t="str">
        <x:v>ENTREGUE</x:v>
      </x:c>
      <x:c r="K63" t="str">
        <x:v>Site</x:v>
      </x:c>
      <x:c r="L63" t="str">
        <x:v>Pix</x:v>
      </x:c>
      <x:c r="M63" s="34" t="n">
        <x:v>7</x:v>
      </x:c>
      <x:c r="N63" t="str">
        <x:v>Adaptador USB-C HDMI</x:v>
      </x:c>
      <x:c r="O63" t="str">
        <x:v>Acessórios</x:v>
      </x:c>
      <x:c r="P63" t="str">
        <x:v>Prime Eletrônicos</x:v>
      </x:c>
      <x:c r="Q63" s="34" t="n">
        <x:v>2</x:v>
      </x:c>
      <x:c r="R63" s="36" t="n">
        <x:v>119.9</x:v>
      </x:c>
      <x:c r="S63" s="38" t="n">
        <x:v>0.03</x:v>
      </x:c>
      <x:c r="T63" s="36" t="n">
        <x:v>116.3</x:v>
      </x:c>
      <x:c r="U63" s="36" t="n">
        <x:v>239.8</x:v>
      </x:c>
      <x:c r="V63" s="36" t="n">
        <x:v>7.2</x:v>
      </x:c>
      <x:c r="W63" s="36" t="n">
        <x:v>232.6</x:v>
      </x:c>
      <x:c r="X63" s="36" t="n">
        <x:v>116</x:v>
      </x:c>
      <x:c r="Y63" s="36" t="n">
        <x:v>116.6</x:v>
      </x:c>
      <x:c r="Z63" s="38" t="n">
        <x:v>0.5013</x:v>
      </x:c>
      <x:c r="AA63" s="36" t="n">
        <x:v>33.32</x:v>
      </x:c>
      <x:c r="AB63" s="34" t="n">
        <x:v>7</x:v>
      </x:c>
      <x:c r="AC63" t="str"/>
    </x:row>
    <x:row r="64">
      <x:c r="A64" s="34" t="n">
        <x:v>63</x:v>
      </x:c>
      <x:c r="B64" s="34" t="n">
        <x:v>39</x:v>
      </x:c>
      <x:c r="C64" s="32" t="n">
        <x:v>46071</x:v>
      </x:c>
      <x:c r="D64" t="str">
        <x:v>2026-02</x:v>
      </x:c>
      <x:c r="E64" s="34" t="n">
        <x:v>40</x:v>
      </x:c>
      <x:c r="F64" t="str">
        <x:v>Samuel Araujo</x:v>
      </x:c>
      <x:c r="G64" t="str">
        <x:v>GO</x:v>
      </x:c>
      <x:c r="H64" t="str">
        <x:v>Goiânia</x:v>
      </x:c>
      <x:c r="I64" s="34" t="n">
        <x:v>33</x:v>
      </x:c>
      <x:c r="J64" t="str">
        <x:v>ENTREGUE</x:v>
      </x:c>
      <x:c r="K64" t="str">
        <x:v>Site</x:v>
      </x:c>
      <x:c r="L64" t="str">
        <x:v>Pix</x:v>
      </x:c>
      <x:c r="M64" s="34" t="n">
        <x:v>12</x:v>
      </x:c>
      <x:c r="N64" t="str">
        <x:v>HD Externo 1TB</x:v>
      </x:c>
      <x:c r="O64" t="str">
        <x:v>Armazenamento</x:v>
      </x:c>
      <x:c r="P64" t="str">
        <x:v>InfoMax Atacado</x:v>
      </x:c>
      <x:c r="Q64" s="34" t="n">
        <x:v>3</x:v>
      </x:c>
      <x:c r="R64" s="36" t="n">
        <x:v>369.9</x:v>
      </x:c>
      <x:c r="S64" s="38" t="n">
        <x:v>0</x:v>
      </x:c>
      <x:c r="T64" s="36" t="n">
        <x:v>369.9</x:v>
      </x:c>
      <x:c r="U64" s="36" t="n">
        <x:v>1109.7</x:v>
      </x:c>
      <x:c r="V64" s="36" t="n">
        <x:v>0</x:v>
      </x:c>
      <x:c r="W64" s="36" t="n">
        <x:v>1109.7</x:v>
      </x:c>
      <x:c r="X64" s="36" t="n">
        <x:v>738</x:v>
      </x:c>
      <x:c r="Y64" s="36" t="n">
        <x:v>371.7</x:v>
      </x:c>
      <x:c r="Z64" s="38" t="n">
        <x:v>0.335</x:v>
      </x:c>
      <x:c r="AA64" s="36" t="n">
        <x:v>33.32</x:v>
      </x:c>
      <x:c r="AB64" s="34" t="n">
        <x:v>7</x:v>
      </x:c>
      <x:c r="AC64" t="str"/>
    </x:row>
    <x:row r="65">
      <x:c r="A65" s="34" t="n">
        <x:v>64</x:v>
      </x:c>
      <x:c r="B65" s="34" t="n">
        <x:v>40</x:v>
      </x:c>
      <x:c r="C65" s="32" t="n">
        <x:v>46080</x:v>
      </x:c>
      <x:c r="D65" t="str">
        <x:v>2026-02</x:v>
      </x:c>
      <x:c r="E65" s="34" t="n">
        <x:v>54</x:v>
      </x:c>
      <x:c r="F65" t="str">
        <x:v>Eduarda Gomes</x:v>
      </x:c>
      <x:c r="G65" t="str">
        <x:v>RJ</x:v>
      </x:c>
      <x:c r="H65" t="str">
        <x:v>Rio de Janeiro</x:v>
      </x:c>
      <x:c r="I65" s="34" t="n">
        <x:v>45</x:v>
      </x:c>
      <x:c r="J65" t="str">
        <x:v>ENTREGUE</x:v>
      </x:c>
      <x:c r="K65" t="str">
        <x:v>Site</x:v>
      </x:c>
      <x:c r="L65" t="str">
        <x:v>Cartão crédito</x:v>
      </x:c>
      <x:c r="M65" s="34" t="n">
        <x:v>17</x:v>
      </x:c>
      <x:c r="N65" t="str">
        <x:v>Processador Ryzen 5</x:v>
      </x:c>
      <x:c r="O65" t="str">
        <x:v>Componentes</x:v>
      </x:c>
      <x:c r="P65" t="str">
        <x:v>FastHardware</x:v>
      </x:c>
      <x:c r="Q65" s="34" t="n">
        <x:v>1</x:v>
      </x:c>
      <x:c r="R65" s="36" t="n">
        <x:v>799.9</x:v>
      </x:c>
      <x:c r="S65" s="38" t="n">
        <x:v>0</x:v>
      </x:c>
      <x:c r="T65" s="36" t="n">
        <x:v>799.9</x:v>
      </x:c>
      <x:c r="U65" s="36" t="n">
        <x:v>799.9</x:v>
      </x:c>
      <x:c r="V65" s="36" t="n">
        <x:v>0</x:v>
      </x:c>
      <x:c r="W65" s="36" t="n">
        <x:v>799.9</x:v>
      </x:c>
      <x:c r="X65" s="36" t="n">
        <x:v>612</x:v>
      </x:c>
      <x:c r="Y65" s="36" t="n">
        <x:v>187.9</x:v>
      </x:c>
      <x:c r="Z65" s="38" t="n">
        <x:v>0.2349</x:v>
      </x:c>
      <x:c r="AA65" s="36" t="n">
        <x:v>22.84</x:v>
      </x:c>
      <x:c r="AB65" s="34" t="n">
        <x:v>5</x:v>
      </x:c>
      <x:c r="AC65" t="str"/>
    </x:row>
    <x:row r="66">
      <x:c r="A66" s="34" t="n">
        <x:v>65</x:v>
      </x:c>
      <x:c r="B66" s="34" t="n">
        <x:v>41</x:v>
      </x:c>
      <x:c r="C66" s="32" t="n">
        <x:v>46177</x:v>
      </x:c>
      <x:c r="D66" t="str">
        <x:v>2026-06</x:v>
      </x:c>
      <x:c r="E66" s="34" t="n">
        <x:v>19</x:v>
      </x:c>
      <x:c r="F66" t="str">
        <x:v>Sofia Nascimento</x:v>
      </x:c>
      <x:c r="G66" t="str">
        <x:v>SP</x:v>
      </x:c>
      <x:c r="H66" t="str">
        <x:v>Catanduva</x:v>
      </x:c>
      <x:c r="I66" s="34" t="n">
        <x:v>32</x:v>
      </x:c>
      <x:c r="J66" t="str">
        <x:v>ENVIADO</x:v>
      </x:c>
      <x:c r="K66" t="str">
        <x:v>Site</x:v>
      </x:c>
      <x:c r="L66" t="str">
        <x:v>Pix</x:v>
      </x:c>
      <x:c r="M66" s="34" t="n">
        <x:v>20</x:v>
      </x:c>
      <x:c r="N66" t="str">
        <x:v>Monitor IPS 24"</x:v>
      </x:c>
      <x:c r="O66" t="str">
        <x:v>Monitores</x:v>
      </x:c>
      <x:c r="P66" t="str">
        <x:v>Brasil Monitores</x:v>
      </x:c>
      <x:c r="Q66" s="34" t="n">
        <x:v>1</x:v>
      </x:c>
      <x:c r="R66" s="36" t="n">
        <x:v>899.9</x:v>
      </x:c>
      <x:c r="S66" s="38" t="n">
        <x:v>0</x:v>
      </x:c>
      <x:c r="T66" s="36" t="n">
        <x:v>899.9</x:v>
      </x:c>
      <x:c r="U66" s="36" t="n">
        <x:v>899.9</x:v>
      </x:c>
      <x:c r="V66" s="36" t="n">
        <x:v>0</x:v>
      </x:c>
      <x:c r="W66" s="36" t="n">
        <x:v>899.9</x:v>
      </x:c>
      <x:c r="X66" s="36" t="n">
        <x:v>665</x:v>
      </x:c>
      <x:c r="Y66" s="36" t="n">
        <x:v>234.9</x:v>
      </x:c>
      <x:c r="Z66" s="38" t="n">
        <x:v>0.261</x:v>
      </x:c>
      <x:c r="AA66" s="36" t="n">
        <x:v>45.95</x:v>
      </x:c>
      <x:c r="AB66" s="34" t="n">
        <x:v>1</x:v>
      </x:c>
      <x:c r="AC66" t="str"/>
    </x:row>
    <x:row r="67">
      <x:c r="A67" s="34" t="n">
        <x:v>66</x:v>
      </x:c>
      <x:c r="B67" s="34" t="n">
        <x:v>42</x:v>
      </x:c>
      <x:c r="C67" s="32" t="n">
        <x:v>46156</x:v>
      </x:c>
      <x:c r="D67" t="str">
        <x:v>2026-05</x:v>
      </x:c>
      <x:c r="E67" s="34" t="n">
        <x:v>55</x:v>
      </x:c>
      <x:c r="F67" t="str">
        <x:v>Henrique Araujo</x:v>
      </x:c>
      <x:c r="G67" t="str">
        <x:v>GO</x:v>
      </x:c>
      <x:c r="H67" t="str">
        <x:v>Anápolis</x:v>
      </x:c>
      <x:c r="I67" s="34" t="n">
        <x:v>26</x:v>
      </x:c>
      <x:c r="J67" t="str">
        <x:v>ENTREGUE</x:v>
      </x:c>
      <x:c r="K67" t="str">
        <x:v>Site</x:v>
      </x:c>
      <x:c r="L67" t="str">
        <x:v>Cartão crédito</x:v>
      </x:c>
      <x:c r="M67" s="34" t="n">
        <x:v>27</x:v>
      </x:c>
      <x:c r="N67" t="str">
        <x:v>Placa de Rede PCIe</x:v>
      </x:c>
      <x:c r="O67" t="str">
        <x:v>Rede</x:v>
      </x:c>
      <x:c r="P67" t="str">
        <x:v>Connect Rede</x:v>
      </x:c>
      <x:c r="Q67" s="34" t="n">
        <x:v>1</x:v>
      </x:c>
      <x:c r="R67" s="36" t="n">
        <x:v>79.9</x:v>
      </x:c>
      <x:c r="S67" s="38" t="n">
        <x:v>0.03</x:v>
      </x:c>
      <x:c r="T67" s="36" t="n">
        <x:v>77.5</x:v>
      </x:c>
      <x:c r="U67" s="36" t="n">
        <x:v>79.9</x:v>
      </x:c>
      <x:c r="V67" s="36" t="n">
        <x:v>2.4</x:v>
      </x:c>
      <x:c r="W67" s="36" t="n">
        <x:v>77.5</x:v>
      </x:c>
      <x:c r="X67" s="36" t="n">
        <x:v>37</x:v>
      </x:c>
      <x:c r="Y67" s="36" t="n">
        <x:v>40.5</x:v>
      </x:c>
      <x:c r="Z67" s="38" t="n">
        <x:v>0.5226</x:v>
      </x:c>
      <x:c r="AA67" s="36" t="n">
        <x:v>23.4</x:v>
      </x:c>
      <x:c r="AB67" s="34" t="n">
        <x:v>1</x:v>
      </x:c>
      <x:c r="AC67" t="str"/>
    </x:row>
    <x:row r="68">
      <x:c r="A68" s="34" t="n">
        <x:v>67</x:v>
      </x:c>
      <x:c r="B68" s="34" t="n">
        <x:v>42</x:v>
      </x:c>
      <x:c r="C68" s="32" t="n">
        <x:v>46156</x:v>
      </x:c>
      <x:c r="D68" t="str">
        <x:v>2026-05</x:v>
      </x:c>
      <x:c r="E68" s="34" t="n">
        <x:v>55</x:v>
      </x:c>
      <x:c r="F68" t="str">
        <x:v>Henrique Araujo</x:v>
      </x:c>
      <x:c r="G68" t="str">
        <x:v>GO</x:v>
      </x:c>
      <x:c r="H68" t="str">
        <x:v>Anápolis</x:v>
      </x:c>
      <x:c r="I68" s="34" t="n">
        <x:v>26</x:v>
      </x:c>
      <x:c r="J68" t="str">
        <x:v>ENTREGUE</x:v>
      </x:c>
      <x:c r="K68" t="str">
        <x:v>Site</x:v>
      </x:c>
      <x:c r="L68" t="str">
        <x:v>Cartão crédito</x:v>
      </x:c>
      <x:c r="M68" s="34" t="n">
        <x:v>6</x:v>
      </x:c>
      <x:c r="N68" t="str">
        <x:v>Cabo HDMI 2m</x:v>
      </x:c>
      <x:c r="O68" t="str">
        <x:v>Acessórios</x:v>
      </x:c>
      <x:c r="P68" t="str">
        <x:v>Prime Eletrônicos</x:v>
      </x:c>
      <x:c r="Q68" s="34" t="n">
        <x:v>4</x:v>
      </x:c>
      <x:c r="R68" s="36" t="n">
        <x:v>29.9</x:v>
      </x:c>
      <x:c r="S68" s="38" t="n">
        <x:v>0</x:v>
      </x:c>
      <x:c r="T68" s="36" t="n">
        <x:v>29.9</x:v>
      </x:c>
      <x:c r="U68" s="36" t="n">
        <x:v>119.6</x:v>
      </x:c>
      <x:c r="V68" s="36" t="n">
        <x:v>0</x:v>
      </x:c>
      <x:c r="W68" s="36" t="n">
        <x:v>119.6</x:v>
      </x:c>
      <x:c r="X68" s="36" t="n">
        <x:v>40</x:v>
      </x:c>
      <x:c r="Y68" s="36" t="n">
        <x:v>79.6</x:v>
      </x:c>
      <x:c r="Z68" s="38" t="n">
        <x:v>0.6656</x:v>
      </x:c>
      <x:c r="AA68" s="36" t="n">
        <x:v>23.4</x:v>
      </x:c>
      <x:c r="AB68" s="34" t="n">
        <x:v>1</x:v>
      </x:c>
      <x:c r="AC68" t="str"/>
    </x:row>
    <x:row r="69">
      <x:c r="A69" s="34" t="n">
        <x:v>68</x:v>
      </x:c>
      <x:c r="B69" s="34" t="n">
        <x:v>43</x:v>
      </x:c>
      <x:c r="C69" s="32" t="n">
        <x:v>46154</x:v>
      </x:c>
      <x:c r="D69" t="str">
        <x:v>2026-05</x:v>
      </x:c>
      <x:c r="E69" s="34" t="n">
        <x:v>51</x:v>
      </x:c>
      <x:c r="F69" t="str">
        <x:v>Sofia Martins</x:v>
      </x:c>
      <x:c r="G69" t="str">
        <x:v>PR</x:v>
      </x:c>
      <x:c r="H69" t="str">
        <x:v>Curitiba</x:v>
      </x:c>
      <x:c r="I69" s="34" t="n">
        <x:v>23</x:v>
      </x:c>
      <x:c r="J69" t="str">
        <x:v>ENTREGUE</x:v>
      </x:c>
      <x:c r="K69" t="str">
        <x:v>Marketplace</x:v>
      </x:c>
      <x:c r="L69" t="str">
        <x:v>Pix</x:v>
      </x:c>
      <x:c r="M69" s="34" t="n">
        <x:v>2</x:v>
      </x:c>
      <x:c r="N69" t="str">
        <x:v>Teclado Membrana ABNT2</x:v>
      </x:c>
      <x:c r="O69" t="str">
        <x:v>Periféricos</x:v>
      </x:c>
      <x:c r="P69" t="str">
        <x:v>TechDistribuidora Brasil</x:v>
      </x:c>
      <x:c r="Q69" s="34" t="n">
        <x:v>1</x:v>
      </x:c>
      <x:c r="R69" s="36" t="n">
        <x:v>89.9</x:v>
      </x:c>
      <x:c r="S69" s="38" t="n">
        <x:v>0.03</x:v>
      </x:c>
      <x:c r="T69" s="36" t="n">
        <x:v>87.2</x:v>
      </x:c>
      <x:c r="U69" s="36" t="n">
        <x:v>89.9</x:v>
      </x:c>
      <x:c r="V69" s="36" t="n">
        <x:v>2.7</x:v>
      </x:c>
      <x:c r="W69" s="36" t="n">
        <x:v>87.2</x:v>
      </x:c>
      <x:c r="X69" s="36" t="n">
        <x:v>48</x:v>
      </x:c>
      <x:c r="Y69" s="36" t="n">
        <x:v>39.2</x:v>
      </x:c>
      <x:c r="Z69" s="38" t="n">
        <x:v>0.4495</x:v>
      </x:c>
      <x:c r="AA69" s="36" t="n">
        <x:v>59.58</x:v>
      </x:c>
      <x:c r="AB69" s="34" t="n">
        <x:v>9</x:v>
      </x:c>
      <x:c r="AC69" t="str"/>
    </x:row>
    <x:row r="70">
      <x:c r="A70" s="34" t="n">
        <x:v>69</x:v>
      </x:c>
      <x:c r="B70" s="34" t="n">
        <x:v>44</x:v>
      </x:c>
      <x:c r="C70" s="32" t="n">
        <x:v>46176</x:v>
      </x:c>
      <x:c r="D70" t="str">
        <x:v>2026-06</x:v>
      </x:c>
      <x:c r="E70" s="34" t="n">
        <x:v>20</x:v>
      </x:c>
      <x:c r="F70" t="str">
        <x:v>Henrique Silva</x:v>
      </x:c>
      <x:c r="G70" t="str">
        <x:v>SP</x:v>
      </x:c>
      <x:c r="H70" t="str">
        <x:v>Ribeirão Preto</x:v>
      </x:c>
      <x:c r="I70" s="34" t="n">
        <x:v>21</x:v>
      </x:c>
      <x:c r="J70" t="str">
        <x:v>PENDENTE</x:v>
      </x:c>
      <x:c r="K70" t="str">
        <x:v>WhatsApp</x:v>
      </x:c>
      <x:c r="L70" t="str">
        <x:v>Pix</x:v>
      </x:c>
      <x:c r="M70" s="34" t="n">
        <x:v>4</x:v>
      </x:c>
      <x:c r="N70" t="str">
        <x:v>Webcam Full HD</x:v>
      </x:c>
      <x:c r="O70" t="str">
        <x:v>Periféricos</x:v>
      </x:c>
      <x:c r="P70" t="str">
        <x:v>Prime Eletrônicos</x:v>
      </x:c>
      <x:c r="Q70" s="34" t="n">
        <x:v>1</x:v>
      </x:c>
      <x:c r="R70" s="36" t="n">
        <x:v>199.9</x:v>
      </x:c>
      <x:c r="S70" s="38" t="n">
        <x:v>0</x:v>
      </x:c>
      <x:c r="T70" s="36" t="n">
        <x:v>199.9</x:v>
      </x:c>
      <x:c r="U70" s="36" t="n">
        <x:v>199.9</x:v>
      </x:c>
      <x:c r="V70" s="36" t="n">
        <x:v>0</x:v>
      </x:c>
      <x:c r="W70" s="36" t="n">
        <x:v>199.9</x:v>
      </x:c>
      <x:c r="X70" s="36" t="n">
        <x:v>112</x:v>
      </x:c>
      <x:c r="Y70" s="36" t="n">
        <x:v>87.9</x:v>
      </x:c>
      <x:c r="Z70" s="38" t="n">
        <x:v>0.4397</x:v>
      </x:c>
      <x:c r="AA70" s="36" t="n">
        <x:v>31.49</x:v>
      </x:c>
      <x:c r="AB70" s="34"/>
      <x:c r="AC70" t="str"/>
    </x:row>
    <x:row r="71">
      <x:c r="A71" s="34" t="n">
        <x:v>70</x:v>
      </x:c>
      <x:c r="B71" s="34" t="n">
        <x:v>45</x:v>
      </x:c>
      <x:c r="C71" s="32" t="n">
        <x:v>46099</x:v>
      </x:c>
      <x:c r="D71" t="str">
        <x:v>2026-03</x:v>
      </x:c>
      <x:c r="E71" s="34" t="n">
        <x:v>7</x:v>
      </x:c>
      <x:c r="F71" t="str">
        <x:v>Thiago Gomes</x:v>
      </x:c>
      <x:c r="G71" t="str">
        <x:v>RJ</x:v>
      </x:c>
      <x:c r="H71" t="str">
        <x:v>Rio de Janeiro</x:v>
      </x:c>
      <x:c r="I71" s="34" t="n">
        <x:v>61</x:v>
      </x:c>
      <x:c r="J71" t="str">
        <x:v>ENTREGUE</x:v>
      </x:c>
      <x:c r="K71" t="str">
        <x:v>Indicação</x:v>
      </x:c>
      <x:c r="L71" t="str">
        <x:v>Pix</x:v>
      </x:c>
      <x:c r="M71" s="34" t="n">
        <x:v>10</x:v>
      </x:c>
      <x:c r="N71" t="str">
        <x:v>SSD 480GB SATA</x:v>
      </x:c>
      <x:c r="O71" t="str">
        <x:v>Armazenamento</x:v>
      </x:c>
      <x:c r="P71" t="str">
        <x:v>Mega Componentes</x:v>
      </x:c>
      <x:c r="Q71" s="34" t="n">
        <x:v>1</x:v>
      </x:c>
      <x:c r="R71" s="36" t="n">
        <x:v>259.9</x:v>
      </x:c>
      <x:c r="S71" s="38" t="n">
        <x:v>0.05</x:v>
      </x:c>
      <x:c r="T71" s="36" t="n">
        <x:v>246.9</x:v>
      </x:c>
      <x:c r="U71" s="36" t="n">
        <x:v>259.9</x:v>
      </x:c>
      <x:c r="V71" s="36" t="n">
        <x:v>13</x:v>
      </x:c>
      <x:c r="W71" s="36" t="n">
        <x:v>246.9</x:v>
      </x:c>
      <x:c r="X71" s="36" t="n">
        <x:v>158</x:v>
      </x:c>
      <x:c r="Y71" s="36" t="n">
        <x:v>88.9</x:v>
      </x:c>
      <x:c r="Z71" s="38" t="n">
        <x:v>0.3601</x:v>
      </x:c>
      <x:c r="AA71" s="36" t="n">
        <x:v>19.07</x:v>
      </x:c>
      <x:c r="AB71" s="34" t="n">
        <x:v>3</x:v>
      </x:c>
      <x:c r="AC71" t="str"/>
    </x:row>
    <x:row r="72">
      <x:c r="A72" s="34" t="n">
        <x:v>71</x:v>
      </x:c>
      <x:c r="B72" s="34" t="n">
        <x:v>45</x:v>
      </x:c>
      <x:c r="C72" s="32" t="n">
        <x:v>46099</x:v>
      </x:c>
      <x:c r="D72" t="str">
        <x:v>2026-03</x:v>
      </x:c>
      <x:c r="E72" s="34" t="n">
        <x:v>7</x:v>
      </x:c>
      <x:c r="F72" t="str">
        <x:v>Thiago Gomes</x:v>
      </x:c>
      <x:c r="G72" t="str">
        <x:v>RJ</x:v>
      </x:c>
      <x:c r="H72" t="str">
        <x:v>Rio de Janeiro</x:v>
      </x:c>
      <x:c r="I72" s="34" t="n">
        <x:v>61</x:v>
      </x:c>
      <x:c r="J72" t="str">
        <x:v>ENTREGUE</x:v>
      </x:c>
      <x:c r="K72" t="str">
        <x:v>Indicação</x:v>
      </x:c>
      <x:c r="L72" t="str">
        <x:v>Pix</x:v>
      </x:c>
      <x:c r="M72" s="34" t="n">
        <x:v>18</x:v>
      </x:c>
      <x:c r="N72" t="str">
        <x:v>Cooler para Processador</x:v>
      </x:c>
      <x:c r="O72" t="str">
        <x:v>Componentes</x:v>
      </x:c>
      <x:c r="P72" t="str">
        <x:v>Mega Componentes</x:v>
      </x:c>
      <x:c r="Q72" s="34" t="n">
        <x:v>1</x:v>
      </x:c>
      <x:c r="R72" s="36" t="n">
        <x:v>99.9</x:v>
      </x:c>
      <x:c r="S72" s="38" t="n">
        <x:v>0.1</x:v>
      </x:c>
      <x:c r="T72" s="36" t="n">
        <x:v>89.91</x:v>
      </x:c>
      <x:c r="U72" s="36" t="n">
        <x:v>99.9</x:v>
      </x:c>
      <x:c r="V72" s="36" t="n">
        <x:v>9.99</x:v>
      </x:c>
      <x:c r="W72" s="36" t="n">
        <x:v>89.91</x:v>
      </x:c>
      <x:c r="X72" s="36" t="n">
        <x:v>46</x:v>
      </x:c>
      <x:c r="Y72" s="36" t="n">
        <x:v>43.91</x:v>
      </x:c>
      <x:c r="Z72" s="38" t="n">
        <x:v>0.4884</x:v>
      </x:c>
      <x:c r="AA72" s="36" t="n">
        <x:v>19.07</x:v>
      </x:c>
      <x:c r="AB72" s="34" t="n">
        <x:v>3</x:v>
      </x:c>
      <x:c r="AC72" t="str"/>
    </x:row>
    <x:row r="73">
      <x:c r="A73" s="34" t="n">
        <x:v>72</x:v>
      </x:c>
      <x:c r="B73" s="34" t="n">
        <x:v>46</x:v>
      </x:c>
      <x:c r="C73" s="32" t="n">
        <x:v>46132</x:v>
      </x:c>
      <x:c r="D73" t="str">
        <x:v>2026-04</x:v>
      </x:c>
      <x:c r="E73" s="34" t="n">
        <x:v>3</x:v>
      </x:c>
      <x:c r="F73" t="str">
        <x:v>Matheus Almeida</x:v>
      </x:c>
      <x:c r="G73" t="str">
        <x:v>SP</x:v>
      </x:c>
      <x:c r="H73" t="str">
        <x:v>Votuporanga</x:v>
      </x:c>
      <x:c r="I73" s="34" t="n">
        <x:v>23</x:v>
      </x:c>
      <x:c r="J73" t="str">
        <x:v>ENTREGUE</x:v>
      </x:c>
      <x:c r="K73" t="str">
        <x:v>WhatsApp</x:v>
      </x:c>
      <x:c r="L73" t="str">
        <x:v>Cartão crédito</x:v>
      </x:c>
      <x:c r="M73" s="34" t="n">
        <x:v>15</x:v>
      </x:c>
      <x:c r="N73" t="str">
        <x:v>Fonte 500W 80 Plus</x:v>
      </x:c>
      <x:c r="O73" t="str">
        <x:v>Componentes</x:v>
      </x:c>
      <x:c r="P73" t="str">
        <x:v>FastHardware</x:v>
      </x:c>
      <x:c r="Q73" s="34" t="n">
        <x:v>1</x:v>
      </x:c>
      <x:c r="R73" s="36" t="n">
        <x:v>289.9</x:v>
      </x:c>
      <x:c r="S73" s="38" t="n">
        <x:v>0</x:v>
      </x:c>
      <x:c r="T73" s="36" t="n">
        <x:v>289.9</x:v>
      </x:c>
      <x:c r="U73" s="36" t="n">
        <x:v>289.9</x:v>
      </x:c>
      <x:c r="V73" s="36" t="n">
        <x:v>0</x:v>
      </x:c>
      <x:c r="W73" s="36" t="n">
        <x:v>289.9</x:v>
      </x:c>
      <x:c r="X73" s="36" t="n">
        <x:v>182</x:v>
      </x:c>
      <x:c r="Y73" s="36" t="n">
        <x:v>107.9</x:v>
      </x:c>
      <x:c r="Z73" s="38" t="n">
        <x:v>0.3722</x:v>
      </x:c>
      <x:c r="AA73" s="36" t="n">
        <x:v>27.3</x:v>
      </x:c>
      <x:c r="AB73" s="34" t="n">
        <x:v>8</x:v>
      </x:c>
      <x:c r="AC73" t="str"/>
    </x:row>
    <x:row r="74">
      <x:c r="A74" s="34" t="n">
        <x:v>73</x:v>
      </x:c>
      <x:c r="B74" s="34" t="n">
        <x:v>47</x:v>
      </x:c>
      <x:c r="C74" s="32" t="n">
        <x:v>46175</x:v>
      </x:c>
      <x:c r="D74" t="str">
        <x:v>2026-06</x:v>
      </x:c>
      <x:c r="E74" s="34" t="n">
        <x:v>31</x:v>
      </x:c>
      <x:c r="F74" t="str">
        <x:v>Tatiane Lima</x:v>
      </x:c>
      <x:c r="G74" t="str">
        <x:v>SP</x:v>
      </x:c>
      <x:c r="H74" t="str">
        <x:v>Mirassol</x:v>
      </x:c>
      <x:c r="I74" s="34" t="n">
        <x:v>31</x:v>
      </x:c>
      <x:c r="J74" t="str">
        <x:v>ENTREGUE</x:v>
      </x:c>
      <x:c r="K74" t="str">
        <x:v>WhatsApp</x:v>
      </x:c>
      <x:c r="L74" t="str">
        <x:v>Pix</x:v>
      </x:c>
      <x:c r="M74" s="34" t="n">
        <x:v>4</x:v>
      </x:c>
      <x:c r="N74" t="str">
        <x:v>Webcam Full HD</x:v>
      </x:c>
      <x:c r="O74" t="str">
        <x:v>Periféricos</x:v>
      </x:c>
      <x:c r="P74" t="str">
        <x:v>Prime Eletrônicos</x:v>
      </x:c>
      <x:c r="Q74" s="34" t="n">
        <x:v>1</x:v>
      </x:c>
      <x:c r="R74" s="36" t="n">
        <x:v>199.9</x:v>
      </x:c>
      <x:c r="S74" s="38" t="n">
        <x:v>0.08</x:v>
      </x:c>
      <x:c r="T74" s="36" t="n">
        <x:v>183.91</x:v>
      </x:c>
      <x:c r="U74" s="36" t="n">
        <x:v>199.9</x:v>
      </x:c>
      <x:c r="V74" s="36" t="n">
        <x:v>15.99</x:v>
      </x:c>
      <x:c r="W74" s="36" t="n">
        <x:v>183.91</x:v>
      </x:c>
      <x:c r="X74" s="36" t="n">
        <x:v>112</x:v>
      </x:c>
      <x:c r="Y74" s="36" t="n">
        <x:v>71.91</x:v>
      </x:c>
      <x:c r="Z74" s="38" t="n">
        <x:v>0.391</x:v>
      </x:c>
      <x:c r="AA74" s="36" t="n">
        <x:v>25.26</x:v>
      </x:c>
      <x:c r="AB74" s="34" t="n">
        <x:v>5</x:v>
      </x:c>
      <x:c r="AC74" t="str"/>
    </x:row>
    <x:row r="75">
      <x:c r="A75" s="34" t="n">
        <x:v>74</x:v>
      </x:c>
      <x:c r="B75" s="34" t="n">
        <x:v>47</x:v>
      </x:c>
      <x:c r="C75" s="32" t="n">
        <x:v>46175</x:v>
      </x:c>
      <x:c r="D75" t="str">
        <x:v>2026-06</x:v>
      </x:c>
      <x:c r="E75" s="34" t="n">
        <x:v>31</x:v>
      </x:c>
      <x:c r="F75" t="str">
        <x:v>Tatiane Lima</x:v>
      </x:c>
      <x:c r="G75" t="str">
        <x:v>SP</x:v>
      </x:c>
      <x:c r="H75" t="str">
        <x:v>Mirassol</x:v>
      </x:c>
      <x:c r="I75" s="34" t="n">
        <x:v>31</x:v>
      </x:c>
      <x:c r="J75" t="str">
        <x:v>ENTREGUE</x:v>
      </x:c>
      <x:c r="K75" t="str">
        <x:v>WhatsApp</x:v>
      </x:c>
      <x:c r="L75" t="str">
        <x:v>Pix</x:v>
      </x:c>
      <x:c r="M75" s="34" t="n">
        <x:v>15</x:v>
      </x:c>
      <x:c r="N75" t="str">
        <x:v>Fonte 500W 80 Plus</x:v>
      </x:c>
      <x:c r="O75" t="str">
        <x:v>Componentes</x:v>
      </x:c>
      <x:c r="P75" t="str">
        <x:v>FastHardware</x:v>
      </x:c>
      <x:c r="Q75" s="34" t="n">
        <x:v>1</x:v>
      </x:c>
      <x:c r="R75" s="36" t="n">
        <x:v>289.9</x:v>
      </x:c>
      <x:c r="S75" s="38" t="n">
        <x:v>0</x:v>
      </x:c>
      <x:c r="T75" s="36" t="n">
        <x:v>289.9</x:v>
      </x:c>
      <x:c r="U75" s="36" t="n">
        <x:v>289.9</x:v>
      </x:c>
      <x:c r="V75" s="36" t="n">
        <x:v>0</x:v>
      </x:c>
      <x:c r="W75" s="36" t="n">
        <x:v>289.9</x:v>
      </x:c>
      <x:c r="X75" s="36" t="n">
        <x:v>182</x:v>
      </x:c>
      <x:c r="Y75" s="36" t="n">
        <x:v>107.9</x:v>
      </x:c>
      <x:c r="Z75" s="38" t="n">
        <x:v>0.3722</x:v>
      </x:c>
      <x:c r="AA75" s="36" t="n">
        <x:v>25.26</x:v>
      </x:c>
      <x:c r="AB75" s="34" t="n">
        <x:v>5</x:v>
      </x:c>
      <x:c r="AC75" t="str"/>
    </x:row>
    <x:row r="76">
      <x:c r="A76" s="34" t="n">
        <x:v>75</x:v>
      </x:c>
      <x:c r="B76" s="34" t="n">
        <x:v>47</x:v>
      </x:c>
      <x:c r="C76" s="32" t="n">
        <x:v>46175</x:v>
      </x:c>
      <x:c r="D76" t="str">
        <x:v>2026-06</x:v>
      </x:c>
      <x:c r="E76" s="34" t="n">
        <x:v>31</x:v>
      </x:c>
      <x:c r="F76" t="str">
        <x:v>Tatiane Lima</x:v>
      </x:c>
      <x:c r="G76" t="str">
        <x:v>SP</x:v>
      </x:c>
      <x:c r="H76" t="str">
        <x:v>Mirassol</x:v>
      </x:c>
      <x:c r="I76" s="34" t="n">
        <x:v>31</x:v>
      </x:c>
      <x:c r="J76" t="str">
        <x:v>ENTREGUE</x:v>
      </x:c>
      <x:c r="K76" t="str">
        <x:v>WhatsApp</x:v>
      </x:c>
      <x:c r="L76" t="str">
        <x:v>Pix</x:v>
      </x:c>
      <x:c r="M76" s="34" t="n">
        <x:v>11</x:v>
      </x:c>
      <x:c r="N76" t="str">
        <x:v>SSD NVMe 500GB</x:v>
      </x:c>
      <x:c r="O76" t="str">
        <x:v>Armazenamento</x:v>
      </x:c>
      <x:c r="P76" t="str">
        <x:v>FastHardware</x:v>
      </x:c>
      <x:c r="Q76" s="34" t="n">
        <x:v>1</x:v>
      </x:c>
      <x:c r="R76" s="36" t="n">
        <x:v>329.9</x:v>
      </x:c>
      <x:c r="S76" s="38" t="n">
        <x:v>0.1</x:v>
      </x:c>
      <x:c r="T76" s="36" t="n">
        <x:v>296.91</x:v>
      </x:c>
      <x:c r="U76" s="36" t="n">
        <x:v>329.9</x:v>
      </x:c>
      <x:c r="V76" s="36" t="n">
        <x:v>32.99</x:v>
      </x:c>
      <x:c r="W76" s="36" t="n">
        <x:v>296.91</x:v>
      </x:c>
      <x:c r="X76" s="36" t="n">
        <x:v>205</x:v>
      </x:c>
      <x:c r="Y76" s="36" t="n">
        <x:v>91.91</x:v>
      </x:c>
      <x:c r="Z76" s="38" t="n">
        <x:v>0.3096</x:v>
      </x:c>
      <x:c r="AA76" s="36" t="n">
        <x:v>25.26</x:v>
      </x:c>
      <x:c r="AB76" s="34" t="n">
        <x:v>5</x:v>
      </x:c>
      <x:c r="AC76" t="str"/>
    </x:row>
    <x:row r="77">
      <x:c r="A77" s="34" t="n">
        <x:v>76</x:v>
      </x:c>
      <x:c r="B77" s="34" t="n">
        <x:v>48</x:v>
      </x:c>
      <x:c r="C77" s="32" t="n">
        <x:v>46159</x:v>
      </x:c>
      <x:c r="D77" t="str">
        <x:v>2026-05</x:v>
      </x:c>
      <x:c r="E77" s="34" t="n">
        <x:v>34</x:v>
      </x:c>
      <x:c r="F77" t="str">
        <x:v>Vitor Martins</x:v>
      </x:c>
      <x:c r="G77" t="str">
        <x:v>RJ</x:v>
      </x:c>
      <x:c r="H77" t="str">
        <x:v>Rio de Janeiro</x:v>
      </x:c>
      <x:c r="I77" s="34" t="n">
        <x:v>60</x:v>
      </x:c>
      <x:c r="J77" t="str">
        <x:v>ENTREGUE</x:v>
      </x:c>
      <x:c r="K77" t="str">
        <x:v>Marketplace</x:v>
      </x:c>
      <x:c r="L77" t="str">
        <x:v>Pix</x:v>
      </x:c>
      <x:c r="M77" s="34" t="n">
        <x:v>5</x:v>
      </x:c>
      <x:c r="N77" t="str">
        <x:v>Mousepad Grande</x:v>
      </x:c>
      <x:c r="O77" t="str">
        <x:v>Acessórios</x:v>
      </x:c>
      <x:c r="P77" t="str">
        <x:v>Prime Eletrônicos</x:v>
      </x:c>
      <x:c r="Q77" s="34" t="n">
        <x:v>1</x:v>
      </x:c>
      <x:c r="R77" s="36" t="n">
        <x:v>39.9</x:v>
      </x:c>
      <x:c r="S77" s="38" t="n">
        <x:v>0</x:v>
      </x:c>
      <x:c r="T77" s="36" t="n">
        <x:v>39.9</x:v>
      </x:c>
      <x:c r="U77" s="36" t="n">
        <x:v>39.9</x:v>
      </x:c>
      <x:c r="V77" s="36" t="n">
        <x:v>0</x:v>
      </x:c>
      <x:c r="W77" s="36" t="n">
        <x:v>39.9</x:v>
      </x:c>
      <x:c r="X77" s="36" t="n">
        <x:v>17</x:v>
      </x:c>
      <x:c r="Y77" s="36" t="n">
        <x:v>22.9</x:v>
      </x:c>
      <x:c r="Z77" s="38" t="n">
        <x:v>0.5739</x:v>
      </x:c>
      <x:c r="AA77" s="36" t="n">
        <x:v>34.49</x:v>
      </x:c>
      <x:c r="AB77" s="34" t="n">
        <x:v>7</x:v>
      </x:c>
      <x:c r="AC77" t="str"/>
    </x:row>
    <x:row r="78">
      <x:c r="A78" s="34" t="n">
        <x:v>77</x:v>
      </x:c>
      <x:c r="B78" s="34" t="n">
        <x:v>48</x:v>
      </x:c>
      <x:c r="C78" s="32" t="n">
        <x:v>46159</x:v>
      </x:c>
      <x:c r="D78" t="str">
        <x:v>2026-05</x:v>
      </x:c>
      <x:c r="E78" s="34" t="n">
        <x:v>34</x:v>
      </x:c>
      <x:c r="F78" t="str">
        <x:v>Vitor Martins</x:v>
      </x:c>
      <x:c r="G78" t="str">
        <x:v>RJ</x:v>
      </x:c>
      <x:c r="H78" t="str">
        <x:v>Rio de Janeiro</x:v>
      </x:c>
      <x:c r="I78" s="34" t="n">
        <x:v>60</x:v>
      </x:c>
      <x:c r="J78" t="str">
        <x:v>ENTREGUE</x:v>
      </x:c>
      <x:c r="K78" t="str">
        <x:v>Marketplace</x:v>
      </x:c>
      <x:c r="L78" t="str">
        <x:v>Pix</x:v>
      </x:c>
      <x:c r="M78" s="34" t="n">
        <x:v>19</x:v>
      </x:c>
      <x:c r="N78" t="str">
        <x:v>Monitor LED 21.5"</x:v>
      </x:c>
      <x:c r="O78" t="str">
        <x:v>Monitores</x:v>
      </x:c>
      <x:c r="P78" t="str">
        <x:v>Brasil Monitores</x:v>
      </x:c>
      <x:c r="Q78" s="34" t="n">
        <x:v>1</x:v>
      </x:c>
      <x:c r="R78" s="36" t="n">
        <x:v>679.9</x:v>
      </x:c>
      <x:c r="S78" s="38" t="n">
        <x:v>0</x:v>
      </x:c>
      <x:c r="T78" s="36" t="n">
        <x:v>679.9</x:v>
      </x:c>
      <x:c r="U78" s="36" t="n">
        <x:v>679.9</x:v>
      </x:c>
      <x:c r="V78" s="36" t="n">
        <x:v>0</x:v>
      </x:c>
      <x:c r="W78" s="36" t="n">
        <x:v>679.9</x:v>
      </x:c>
      <x:c r="X78" s="36" t="n">
        <x:v>495</x:v>
      </x:c>
      <x:c r="Y78" s="36" t="n">
        <x:v>184.9</x:v>
      </x:c>
      <x:c r="Z78" s="38" t="n">
        <x:v>0.272</x:v>
      </x:c>
      <x:c r="AA78" s="36" t="n">
        <x:v>34.49</x:v>
      </x:c>
      <x:c r="AB78" s="34" t="n">
        <x:v>7</x:v>
      </x:c>
      <x:c r="AC78" t="str"/>
    </x:row>
    <x:row r="79">
      <x:c r="A79" s="34" t="n">
        <x:v>78</x:v>
      </x:c>
      <x:c r="B79" s="34" t="n">
        <x:v>48</x:v>
      </x:c>
      <x:c r="C79" s="32" t="n">
        <x:v>46159</x:v>
      </x:c>
      <x:c r="D79" t="str">
        <x:v>2026-05</x:v>
      </x:c>
      <x:c r="E79" s="34" t="n">
        <x:v>34</x:v>
      </x:c>
      <x:c r="F79" t="str">
        <x:v>Vitor Martins</x:v>
      </x:c>
      <x:c r="G79" t="str">
        <x:v>RJ</x:v>
      </x:c>
      <x:c r="H79" t="str">
        <x:v>Rio de Janeiro</x:v>
      </x:c>
      <x:c r="I79" s="34" t="n">
        <x:v>60</x:v>
      </x:c>
      <x:c r="J79" t="str">
        <x:v>ENTREGUE</x:v>
      </x:c>
      <x:c r="K79" t="str">
        <x:v>Marketplace</x:v>
      </x:c>
      <x:c r="L79" t="str">
        <x:v>Pix</x:v>
      </x:c>
      <x:c r="M79" s="34" t="n">
        <x:v>27</x:v>
      </x:c>
      <x:c r="N79" t="str">
        <x:v>Placa de Rede PCIe</x:v>
      </x:c>
      <x:c r="O79" t="str">
        <x:v>Rede</x:v>
      </x:c>
      <x:c r="P79" t="str">
        <x:v>Connect Rede</x:v>
      </x:c>
      <x:c r="Q79" s="34" t="n">
        <x:v>3</x:v>
      </x:c>
      <x:c r="R79" s="36" t="n">
        <x:v>79.9</x:v>
      </x:c>
      <x:c r="S79" s="38" t="n">
        <x:v>0</x:v>
      </x:c>
      <x:c r="T79" s="36" t="n">
        <x:v>79.9</x:v>
      </x:c>
      <x:c r="U79" s="36" t="n">
        <x:v>239.7</x:v>
      </x:c>
      <x:c r="V79" s="36" t="n">
        <x:v>0</x:v>
      </x:c>
      <x:c r="W79" s="36" t="n">
        <x:v>239.7</x:v>
      </x:c>
      <x:c r="X79" s="36" t="n">
        <x:v>111</x:v>
      </x:c>
      <x:c r="Y79" s="36" t="n">
        <x:v>128.7</x:v>
      </x:c>
      <x:c r="Z79" s="38" t="n">
        <x:v>0.5369</x:v>
      </x:c>
      <x:c r="AA79" s="36" t="n">
        <x:v>34.49</x:v>
      </x:c>
      <x:c r="AB79" s="34" t="n">
        <x:v>7</x:v>
      </x:c>
      <x:c r="AC79" t="str"/>
    </x:row>
    <x:row r="80">
      <x:c r="A80" s="34" t="n">
        <x:v>79</x:v>
      </x:c>
      <x:c r="B80" s="34" t="n">
        <x:v>49</x:v>
      </x:c>
      <x:c r="C80" s="32" t="n">
        <x:v>46174</x:v>
      </x:c>
      <x:c r="D80" t="str">
        <x:v>2026-06</x:v>
      </x:c>
      <x:c r="E80" s="34" t="n">
        <x:v>60</x:v>
      </x:c>
      <x:c r="F80" t="str">
        <x:v>Mariana Araujo</x:v>
      </x:c>
      <x:c r="G80" t="str">
        <x:v>PR</x:v>
      </x:c>
      <x:c r="H80" t="str">
        <x:v>Curitiba</x:v>
      </x:c>
      <x:c r="I80" s="34" t="n">
        <x:v>19</x:v>
      </x:c>
      <x:c r="J80" t="str">
        <x:v>PENDENTE</x:v>
      </x:c>
      <x:c r="K80" t="str">
        <x:v>Site</x:v>
      </x:c>
      <x:c r="L80" t="str">
        <x:v>Cartão crédito</x:v>
      </x:c>
      <x:c r="M80" s="34" t="n">
        <x:v>17</x:v>
      </x:c>
      <x:c r="N80" t="str">
        <x:v>Processador Ryzen 5</x:v>
      </x:c>
      <x:c r="O80" t="str">
        <x:v>Componentes</x:v>
      </x:c>
      <x:c r="P80" t="str">
        <x:v>FastHardware</x:v>
      </x:c>
      <x:c r="Q80" s="34" t="n">
        <x:v>2</x:v>
      </x:c>
      <x:c r="R80" s="36" t="n">
        <x:v>799.9</x:v>
      </x:c>
      <x:c r="S80" s="38" t="n">
        <x:v>0.05</x:v>
      </x:c>
      <x:c r="T80" s="36" t="n">
        <x:v>759.9</x:v>
      </x:c>
      <x:c r="U80" s="36" t="n">
        <x:v>1599.8</x:v>
      </x:c>
      <x:c r="V80" s="36" t="n">
        <x:v>80</x:v>
      </x:c>
      <x:c r="W80" s="36" t="n">
        <x:v>1519.8</x:v>
      </x:c>
      <x:c r="X80" s="36" t="n">
        <x:v>1224</x:v>
      </x:c>
      <x:c r="Y80" s="36" t="n">
        <x:v>295.8</x:v>
      </x:c>
      <x:c r="Z80" s="38" t="n">
        <x:v>0.1946</x:v>
      </x:c>
      <x:c r="AA80" s="36" t="n">
        <x:v>60.2</x:v>
      </x:c>
      <x:c r="AB80" s="34"/>
      <x:c r="AC80" t="str"/>
    </x:row>
    <x:row r="81">
      <x:c r="A81" s="34" t="n">
        <x:v>80</x:v>
      </x:c>
      <x:c r="B81" s="34" t="n">
        <x:v>50</x:v>
      </x:c>
      <x:c r="C81" s="32" t="n">
        <x:v>46170</x:v>
      </x:c>
      <x:c r="D81" t="str">
        <x:v>2026-05</x:v>
      </x:c>
      <x:c r="E81" s="34" t="n">
        <x:v>40</x:v>
      </x:c>
      <x:c r="F81" t="str">
        <x:v>Samuel Araujo</x:v>
      </x:c>
      <x:c r="G81" t="str">
        <x:v>GO</x:v>
      </x:c>
      <x:c r="H81" t="str">
        <x:v>Goiânia</x:v>
      </x:c>
      <x:c r="I81" s="34" t="n">
        <x:v>33</x:v>
      </x:c>
      <x:c r="J81" t="str">
        <x:v>ENTREGUE</x:v>
      </x:c>
      <x:c r="K81" t="str">
        <x:v>Indicação</x:v>
      </x:c>
      <x:c r="L81" t="str">
        <x:v>Cartão crédito</x:v>
      </x:c>
      <x:c r="M81" s="34" t="n">
        <x:v>2</x:v>
      </x:c>
      <x:c r="N81" t="str">
        <x:v>Teclado Membrana ABNT2</x:v>
      </x:c>
      <x:c r="O81" t="str">
        <x:v>Periféricos</x:v>
      </x:c>
      <x:c r="P81" t="str">
        <x:v>TechDistribuidora Brasil</x:v>
      </x:c>
      <x:c r="Q81" s="34" t="n">
        <x:v>1</x:v>
      </x:c>
      <x:c r="R81" s="36" t="n">
        <x:v>89.9</x:v>
      </x:c>
      <x:c r="S81" s="38" t="n">
        <x:v>0</x:v>
      </x:c>
      <x:c r="T81" s="36" t="n">
        <x:v>89.9</x:v>
      </x:c>
      <x:c r="U81" s="36" t="n">
        <x:v>89.9</x:v>
      </x:c>
      <x:c r="V81" s="36" t="n">
        <x:v>0</x:v>
      </x:c>
      <x:c r="W81" s="36" t="n">
        <x:v>89.9</x:v>
      </x:c>
      <x:c r="X81" s="36" t="n">
        <x:v>48</x:v>
      </x:c>
      <x:c r="Y81" s="36" t="n">
        <x:v>41.9</x:v>
      </x:c>
      <x:c r="Z81" s="38" t="n">
        <x:v>0.4661</x:v>
      </x:c>
      <x:c r="AA81" s="36" t="n">
        <x:v>38.92</x:v>
      </x:c>
      <x:c r="AB81" s="34" t="n">
        <x:v>1</x:v>
      </x:c>
      <x:c r="AC81" t="str"/>
    </x:row>
    <x:row r="82">
      <x:c r="A82" s="34" t="n">
        <x:v>81</x:v>
      </x:c>
      <x:c r="B82" s="34" t="n">
        <x:v>51</x:v>
      </x:c>
      <x:c r="C82" s="32" t="n">
        <x:v>46052</x:v>
      </x:c>
      <x:c r="D82" t="str">
        <x:v>2026-01</x:v>
      </x:c>
      <x:c r="E82" s="34" t="n">
        <x:v>4</x:v>
      </x:c>
      <x:c r="F82" t="str">
        <x:v>Letícia Santos</x:v>
      </x:c>
      <x:c r="G82" t="str">
        <x:v>SP</x:v>
      </x:c>
      <x:c r="H82" t="str">
        <x:v>Catanduva</x:v>
      </x:c>
      <x:c r="I82" s="34" t="n">
        <x:v>36</x:v>
      </x:c>
      <x:c r="J82" t="str">
        <x:v>ENTREGUE</x:v>
      </x:c>
      <x:c r="K82" t="str">
        <x:v>Site</x:v>
      </x:c>
      <x:c r="L82" t="str">
        <x:v>Cartão crédito</x:v>
      </x:c>
      <x:c r="M82" s="34" t="n">
        <x:v>14</x:v>
      </x:c>
      <x:c r="N82" t="str">
        <x:v>Memória RAM 16GB DDR4</x:v>
      </x:c>
      <x:c r="O82" t="str">
        <x:v>Componentes</x:v>
      </x:c>
      <x:c r="P82" t="str">
        <x:v>Mega Componentes</x:v>
      </x:c>
      <x:c r="Q82" s="34" t="n">
        <x:v>1</x:v>
      </x:c>
      <x:c r="R82" s="36" t="n">
        <x:v>319.9</x:v>
      </x:c>
      <x:c r="S82" s="38" t="n">
        <x:v>0.03</x:v>
      </x:c>
      <x:c r="T82" s="36" t="n">
        <x:v>310.3</x:v>
      </x:c>
      <x:c r="U82" s="36" t="n">
        <x:v>319.9</x:v>
      </x:c>
      <x:c r="V82" s="36" t="n">
        <x:v>9.6</x:v>
      </x:c>
      <x:c r="W82" s="36" t="n">
        <x:v>310.3</x:v>
      </x:c>
      <x:c r="X82" s="36" t="n">
        <x:v>198</x:v>
      </x:c>
      <x:c r="Y82" s="36" t="n">
        <x:v>112.3</x:v>
      </x:c>
      <x:c r="Z82" s="38" t="n">
        <x:v>0.3619</x:v>
      </x:c>
      <x:c r="AA82" s="36" t="n">
        <x:v>25.67</x:v>
      </x:c>
      <x:c r="AB82" s="34" t="n">
        <x:v>6</x:v>
      </x:c>
      <x:c r="AC82" t="str"/>
    </x:row>
    <x:row r="83">
      <x:c r="A83" s="34" t="n">
        <x:v>82</x:v>
      </x:c>
      <x:c r="B83" s="34" t="n">
        <x:v>52</x:v>
      </x:c>
      <x:c r="C83" s="32" t="n">
        <x:v>46116</x:v>
      </x:c>
      <x:c r="D83" t="str">
        <x:v>2026-04</x:v>
      </x:c>
      <x:c r="E83" s="34" t="n">
        <x:v>19</x:v>
      </x:c>
      <x:c r="F83" t="str">
        <x:v>Sofia Nascimento</x:v>
      </x:c>
      <x:c r="G83" t="str">
        <x:v>SP</x:v>
      </x:c>
      <x:c r="H83" t="str">
        <x:v>Catanduva</x:v>
      </x:c>
      <x:c r="I83" s="34" t="n">
        <x:v>32</x:v>
      </x:c>
      <x:c r="J83" t="str">
        <x:v>ENTREGUE</x:v>
      </x:c>
      <x:c r="K83" t="str">
        <x:v>Site</x:v>
      </x:c>
      <x:c r="L83" t="str">
        <x:v>Boleto</x:v>
      </x:c>
      <x:c r="M83" s="34" t="n">
        <x:v>13</x:v>
      </x:c>
      <x:c r="N83" t="str">
        <x:v>Memória RAM 8GB DDR4</x:v>
      </x:c>
      <x:c r="O83" t="str">
        <x:v>Componentes</x:v>
      </x:c>
      <x:c r="P83" t="str">
        <x:v>Mega Componentes</x:v>
      </x:c>
      <x:c r="Q83" s="34" t="n">
        <x:v>1</x:v>
      </x:c>
      <x:c r="R83" s="36" t="n">
        <x:v>179.9</x:v>
      </x:c>
      <x:c r="S83" s="38" t="n">
        <x:v>0.03</x:v>
      </x:c>
      <x:c r="T83" s="36" t="n">
        <x:v>174.5</x:v>
      </x:c>
      <x:c r="U83" s="36" t="n">
        <x:v>179.9</x:v>
      </x:c>
      <x:c r="V83" s="36" t="n">
        <x:v>5.4</x:v>
      </x:c>
      <x:c r="W83" s="36" t="n">
        <x:v>174.5</x:v>
      </x:c>
      <x:c r="X83" s="36" t="n">
        <x:v>107</x:v>
      </x:c>
      <x:c r="Y83" s="36" t="n">
        <x:v>67.5</x:v>
      </x:c>
      <x:c r="Z83" s="38" t="n">
        <x:v>0.3868</x:v>
      </x:c>
      <x:c r="AA83" s="36" t="n">
        <x:v>18.91</x:v>
      </x:c>
      <x:c r="AB83" s="34" t="n">
        <x:v>4</x:v>
      </x:c>
      <x:c r="AC83" t="str"/>
    </x:row>
    <x:row r="84">
      <x:c r="A84" s="34" t="n">
        <x:v>83</x:v>
      </x:c>
      <x:c r="B84" s="34" t="n">
        <x:v>53</x:v>
      </x:c>
      <x:c r="C84" s="32" t="n">
        <x:v>46039</x:v>
      </x:c>
      <x:c r="D84" t="str">
        <x:v>2026-01</x:v>
      </x:c>
      <x:c r="E84" s="34" t="n">
        <x:v>33</x:v>
      </x:c>
      <x:c r="F84" t="str">
        <x:v>Isabela Oliveira</x:v>
      </x:c>
      <x:c r="G84" t="str">
        <x:v>BA</x:v>
      </x:c>
      <x:c r="H84" t="str">
        <x:v>Salvador</x:v>
      </x:c>
      <x:c r="I84" s="34" t="n">
        <x:v>33</x:v>
      </x:c>
      <x:c r="J84" t="str">
        <x:v>ENTREGUE</x:v>
      </x:c>
      <x:c r="K84" t="str">
        <x:v>Site</x:v>
      </x:c>
      <x:c r="L84" t="str">
        <x:v>Pix</x:v>
      </x:c>
      <x:c r="M84" s="34" t="n">
        <x:v>7</x:v>
      </x:c>
      <x:c r="N84" t="str">
        <x:v>Adaptador USB-C HDMI</x:v>
      </x:c>
      <x:c r="O84" t="str">
        <x:v>Acessórios</x:v>
      </x:c>
      <x:c r="P84" t="str">
        <x:v>Prime Eletrônicos</x:v>
      </x:c>
      <x:c r="Q84" s="34" t="n">
        <x:v>3</x:v>
      </x:c>
      <x:c r="R84" s="36" t="n">
        <x:v>119.9</x:v>
      </x:c>
      <x:c r="S84" s="38" t="n">
        <x:v>0.03</x:v>
      </x:c>
      <x:c r="T84" s="36" t="n">
        <x:v>116.3</x:v>
      </x:c>
      <x:c r="U84" s="36" t="n">
        <x:v>359.7</x:v>
      </x:c>
      <x:c r="V84" s="36" t="n">
        <x:v>10.8</x:v>
      </x:c>
      <x:c r="W84" s="36" t="n">
        <x:v>348.9</x:v>
      </x:c>
      <x:c r="X84" s="36" t="n">
        <x:v>174</x:v>
      </x:c>
      <x:c r="Y84" s="36" t="n">
        <x:v>174.9</x:v>
      </x:c>
      <x:c r="Z84" s="38" t="n">
        <x:v>0.5013</x:v>
      </x:c>
      <x:c r="AA84" s="36" t="n">
        <x:v>27.28</x:v>
      </x:c>
      <x:c r="AB84" s="34" t="n">
        <x:v>8</x:v>
      </x:c>
      <x:c r="AC84" t="str"/>
    </x:row>
    <x:row r="85">
      <x:c r="A85" s="34" t="n">
        <x:v>84</x:v>
      </x:c>
      <x:c r="B85" s="34" t="n">
        <x:v>53</x:v>
      </x:c>
      <x:c r="C85" s="32" t="n">
        <x:v>46039</x:v>
      </x:c>
      <x:c r="D85" t="str">
        <x:v>2026-01</x:v>
      </x:c>
      <x:c r="E85" s="34" t="n">
        <x:v>33</x:v>
      </x:c>
      <x:c r="F85" t="str">
        <x:v>Isabela Oliveira</x:v>
      </x:c>
      <x:c r="G85" t="str">
        <x:v>BA</x:v>
      </x:c>
      <x:c r="H85" t="str">
        <x:v>Salvador</x:v>
      </x:c>
      <x:c r="I85" s="34" t="n">
        <x:v>33</x:v>
      </x:c>
      <x:c r="J85" t="str">
        <x:v>ENTREGUE</x:v>
      </x:c>
      <x:c r="K85" t="str">
        <x:v>Site</x:v>
      </x:c>
      <x:c r="L85" t="str">
        <x:v>Pix</x:v>
      </x:c>
      <x:c r="M85" s="34" t="n">
        <x:v>8</x:v>
      </x:c>
      <x:c r="N85" t="str">
        <x:v>Suporte Articulado para Monitor</x:v>
      </x:c>
      <x:c r="O85" t="str">
        <x:v>Acessórios</x:v>
      </x:c>
      <x:c r="P85" t="str">
        <x:v>OfficeTech Supply</x:v>
      </x:c>
      <x:c r="Q85" s="34" t="n">
        <x:v>3</x:v>
      </x:c>
      <x:c r="R85" s="36" t="n">
        <x:v>149.9</x:v>
      </x:c>
      <x:c r="S85" s="38" t="n">
        <x:v>0.05</x:v>
      </x:c>
      <x:c r="T85" s="36" t="n">
        <x:v>142.41</x:v>
      </x:c>
      <x:c r="U85" s="36" t="n">
        <x:v>449.7</x:v>
      </x:c>
      <x:c r="V85" s="36" t="n">
        <x:v>22.47</x:v>
      </x:c>
      <x:c r="W85" s="36" t="n">
        <x:v>427.23</x:v>
      </x:c>
      <x:c r="X85" s="36" t="n">
        <x:v>219</x:v>
      </x:c>
      <x:c r="Y85" s="36" t="n">
        <x:v>208.23</x:v>
      </x:c>
      <x:c r="Z85" s="38" t="n">
        <x:v>0.4874</x:v>
      </x:c>
      <x:c r="AA85" s="36" t="n">
        <x:v>27.28</x:v>
      </x:c>
      <x:c r="AB85" s="34" t="n">
        <x:v>8</x:v>
      </x:c>
      <x:c r="AC85" t="str"/>
    </x:row>
    <x:row r="86">
      <x:c r="A86" s="34" t="n">
        <x:v>85</x:v>
      </x:c>
      <x:c r="B86" s="34" t="n">
        <x:v>54</x:v>
      </x:c>
      <x:c r="C86" s="32" t="n">
        <x:v>46174</x:v>
      </x:c>
      <x:c r="D86" t="str">
        <x:v>2026-06</x:v>
      </x:c>
      <x:c r="E86" s="34" t="n">
        <x:v>3</x:v>
      </x:c>
      <x:c r="F86" t="str">
        <x:v>Matheus Almeida</x:v>
      </x:c>
      <x:c r="G86" t="str">
        <x:v>SP</x:v>
      </x:c>
      <x:c r="H86" t="str">
        <x:v>Votuporanga</x:v>
      </x:c>
      <x:c r="I86" s="34" t="n">
        <x:v>23</x:v>
      </x:c>
      <x:c r="J86" t="str">
        <x:v>ENTREGUE</x:v>
      </x:c>
      <x:c r="K86" t="str">
        <x:v>Indicação</x:v>
      </x:c>
      <x:c r="L86" t="str">
        <x:v>Cartão crédito</x:v>
      </x:c>
      <x:c r="M86" s="34" t="n">
        <x:v>6</x:v>
      </x:c>
      <x:c r="N86" t="str">
        <x:v>Cabo HDMI 2m</x:v>
      </x:c>
      <x:c r="O86" t="str">
        <x:v>Acessórios</x:v>
      </x:c>
      <x:c r="P86" t="str">
        <x:v>Prime Eletrônicos</x:v>
      </x:c>
      <x:c r="Q86" s="34" t="n">
        <x:v>1</x:v>
      </x:c>
      <x:c r="R86" s="36" t="n">
        <x:v>29.9</x:v>
      </x:c>
      <x:c r="S86" s="38" t="n">
        <x:v>0</x:v>
      </x:c>
      <x:c r="T86" s="36" t="n">
        <x:v>29.9</x:v>
      </x:c>
      <x:c r="U86" s="36" t="n">
        <x:v>29.9</x:v>
      </x:c>
      <x:c r="V86" s="36" t="n">
        <x:v>0</x:v>
      </x:c>
      <x:c r="W86" s="36" t="n">
        <x:v>29.9</x:v>
      </x:c>
      <x:c r="X86" s="36" t="n">
        <x:v>10</x:v>
      </x:c>
      <x:c r="Y86" s="36" t="n">
        <x:v>19.9</x:v>
      </x:c>
      <x:c r="Z86" s="38" t="n">
        <x:v>0.6656</x:v>
      </x:c>
      <x:c r="AA86" s="36" t="n">
        <x:v>34.33</x:v>
      </x:c>
      <x:c r="AB86" s="34" t="n">
        <x:v>2</x:v>
      </x:c>
      <x:c r="AC86" t="str"/>
    </x:row>
    <x:row r="87">
      <x:c r="A87" s="34" t="n">
        <x:v>86</x:v>
      </x:c>
      <x:c r="B87" s="34" t="n">
        <x:v>55</x:v>
      </x:c>
      <x:c r="C87" s="32" t="n">
        <x:v>46108</x:v>
      </x:c>
      <x:c r="D87" t="str">
        <x:v>2026-03</x:v>
      </x:c>
      <x:c r="E87" s="34" t="n">
        <x:v>30</x:v>
      </x:c>
      <x:c r="F87" t="str">
        <x:v>Renan Souza</x:v>
      </x:c>
      <x:c r="G87" t="str">
        <x:v>SP</x:v>
      </x:c>
      <x:c r="H87" t="str">
        <x:v>São Paulo</x:v>
      </x:c>
      <x:c r="I87" s="34" t="n">
        <x:v>33</x:v>
      </x:c>
      <x:c r="J87" t="str">
        <x:v>ENTREGUE</x:v>
      </x:c>
      <x:c r="K87" t="str">
        <x:v>Marketplace</x:v>
      </x:c>
      <x:c r="L87" t="str">
        <x:v>Cartão crédito</x:v>
      </x:c>
      <x:c r="M87" s="34" t="n">
        <x:v>4</x:v>
      </x:c>
      <x:c r="N87" t="str">
        <x:v>Webcam Full HD</x:v>
      </x:c>
      <x:c r="O87" t="str">
        <x:v>Periféricos</x:v>
      </x:c>
      <x:c r="P87" t="str">
        <x:v>Prime Eletrônicos</x:v>
      </x:c>
      <x:c r="Q87" s="34" t="n">
        <x:v>2</x:v>
      </x:c>
      <x:c r="R87" s="36" t="n">
        <x:v>199.9</x:v>
      </x:c>
      <x:c r="S87" s="38" t="n">
        <x:v>0</x:v>
      </x:c>
      <x:c r="T87" s="36" t="n">
        <x:v>199.9</x:v>
      </x:c>
      <x:c r="U87" s="36" t="n">
        <x:v>399.8</x:v>
      </x:c>
      <x:c r="V87" s="36" t="n">
        <x:v>0</x:v>
      </x:c>
      <x:c r="W87" s="36" t="n">
        <x:v>399.8</x:v>
      </x:c>
      <x:c r="X87" s="36" t="n">
        <x:v>224</x:v>
      </x:c>
      <x:c r="Y87" s="36" t="n">
        <x:v>175.8</x:v>
      </x:c>
      <x:c r="Z87" s="38" t="n">
        <x:v>0.4397</x:v>
      </x:c>
      <x:c r="AA87" s="36" t="n">
        <x:v>12</x:v>
      </x:c>
      <x:c r="AB87" s="34" t="n">
        <x:v>4</x:v>
      </x:c>
      <x:c r="AC87" t="str"/>
    </x:row>
    <x:row r="88">
      <x:c r="A88" s="34" t="n">
        <x:v>87</x:v>
      </x:c>
      <x:c r="B88" s="34" t="n">
        <x:v>56</x:v>
      </x:c>
      <x:c r="C88" s="32" t="n">
        <x:v>46064</x:v>
      </x:c>
      <x:c r="D88" t="str">
        <x:v>2026-02</x:v>
      </x:c>
      <x:c r="E88" s="34" t="n">
        <x:v>42</x:v>
      </x:c>
      <x:c r="F88" t="str">
        <x:v>Diego Rodrigues</x:v>
      </x:c>
      <x:c r="G88" t="str">
        <x:v>GO</x:v>
      </x:c>
      <x:c r="H88" t="str">
        <x:v>Anápolis</x:v>
      </x:c>
      <x:c r="I88" s="34" t="n">
        <x:v>32</x:v>
      </x:c>
      <x:c r="J88" t="str">
        <x:v>PENDENTE</x:v>
      </x:c>
      <x:c r="K88" t="str">
        <x:v>Indicação</x:v>
      </x:c>
      <x:c r="L88" t="str">
        <x:v>Pix</x:v>
      </x:c>
      <x:c r="M88" s="34" t="n">
        <x:v>6</x:v>
      </x:c>
      <x:c r="N88" t="str">
        <x:v>Cabo HDMI 2m</x:v>
      </x:c>
      <x:c r="O88" t="str">
        <x:v>Acessórios</x:v>
      </x:c>
      <x:c r="P88" t="str">
        <x:v>Prime Eletrônicos</x:v>
      </x:c>
      <x:c r="Q88" s="34" t="n">
        <x:v>1</x:v>
      </x:c>
      <x:c r="R88" s="36" t="n">
        <x:v>29.9</x:v>
      </x:c>
      <x:c r="S88" s="38" t="n">
        <x:v>0</x:v>
      </x:c>
      <x:c r="T88" s="36" t="n">
        <x:v>29.9</x:v>
      </x:c>
      <x:c r="U88" s="36" t="n">
        <x:v>29.9</x:v>
      </x:c>
      <x:c r="V88" s="36" t="n">
        <x:v>0</x:v>
      </x:c>
      <x:c r="W88" s="36" t="n">
        <x:v>29.9</x:v>
      </x:c>
      <x:c r="X88" s="36" t="n">
        <x:v>10</x:v>
      </x:c>
      <x:c r="Y88" s="36" t="n">
        <x:v>19.9</x:v>
      </x:c>
      <x:c r="Z88" s="38" t="n">
        <x:v>0.6656</x:v>
      </x:c>
      <x:c r="AA88" s="36" t="n">
        <x:v>42.26</x:v>
      </x:c>
      <x:c r="AB88" s="34"/>
      <x:c r="AC88" t="str"/>
    </x:row>
    <x:row r="89">
      <x:c r="A89" s="34" t="n">
        <x:v>88</x:v>
      </x:c>
      <x:c r="B89" s="34" t="n">
        <x:v>57</x:v>
      </x:c>
      <x:c r="C89" s="32" t="n">
        <x:v>46051</x:v>
      </x:c>
      <x:c r="D89" t="str">
        <x:v>2026-01</x:v>
      </x:c>
      <x:c r="E89" s="34" t="n">
        <x:v>48</x:v>
      </x:c>
      <x:c r="F89" t="str">
        <x:v>Caio Rodrigues</x:v>
      </x:c>
      <x:c r="G89" t="str">
        <x:v>SP</x:v>
      </x:c>
      <x:c r="H89" t="str">
        <x:v>Ribeirão Preto</x:v>
      </x:c>
      <x:c r="I89" s="34" t="n">
        <x:v>36</x:v>
      </x:c>
      <x:c r="J89" t="str">
        <x:v>ENTREGUE</x:v>
      </x:c>
      <x:c r="K89" t="str">
        <x:v>Site</x:v>
      </x:c>
      <x:c r="L89" t="str">
        <x:v>Cartão crédito</x:v>
      </x:c>
      <x:c r="M89" s="34" t="n">
        <x:v>28</x:v>
      </x:c>
      <x:c r="N89" t="str">
        <x:v>Repetidor Wi-Fi</x:v>
      </x:c>
      <x:c r="O89" t="str">
        <x:v>Rede</x:v>
      </x:c>
      <x:c r="P89" t="str">
        <x:v>Connect Rede</x:v>
      </x:c>
      <x:c r="Q89" s="34" t="n">
        <x:v>1</x:v>
      </x:c>
      <x:c r="R89" s="36" t="n">
        <x:v>139.9</x:v>
      </x:c>
      <x:c r="S89" s="38" t="n">
        <x:v>0</x:v>
      </x:c>
      <x:c r="T89" s="36" t="n">
        <x:v>139.9</x:v>
      </x:c>
      <x:c r="U89" s="36" t="n">
        <x:v>139.9</x:v>
      </x:c>
      <x:c r="V89" s="36" t="n">
        <x:v>0</x:v>
      </x:c>
      <x:c r="W89" s="36" t="n">
        <x:v>139.9</x:v>
      </x:c>
      <x:c r="X89" s="36" t="n">
        <x:v>69</x:v>
      </x:c>
      <x:c r="Y89" s="36" t="n">
        <x:v>70.9</x:v>
      </x:c>
      <x:c r="Z89" s="38" t="n">
        <x:v>0.5068</x:v>
      </x:c>
      <x:c r="AA89" s="36" t="n">
        <x:v>27.57</x:v>
      </x:c>
      <x:c r="AB89" s="34" t="n">
        <x:v>3</x:v>
      </x:c>
      <x:c r="AC89" t="str"/>
    </x:row>
    <x:row r="90">
      <x:c r="A90" s="34" t="n">
        <x:v>89</x:v>
      </x:c>
      <x:c r="B90" s="34" t="n">
        <x:v>58</x:v>
      </x:c>
      <x:c r="C90" s="32" t="n">
        <x:v>46113</x:v>
      </x:c>
      <x:c r="D90" t="str">
        <x:v>2026-04</x:v>
      </x:c>
      <x:c r="E90" s="34" t="n">
        <x:v>28</x:v>
      </x:c>
      <x:c r="F90" t="str">
        <x:v>Gabriela Silva</x:v>
      </x:c>
      <x:c r="G90" t="str">
        <x:v>MG</x:v>
      </x:c>
      <x:c r="H90" t="str">
        <x:v>Belo Horizonte</x:v>
      </x:c>
      <x:c r="I90" s="34" t="n">
        <x:v>21</x:v>
      </x:c>
      <x:c r="J90" t="str">
        <x:v>ENTREGUE</x:v>
      </x:c>
      <x:c r="K90" t="str">
        <x:v>Instagram</x:v>
      </x:c>
      <x:c r="L90" t="str">
        <x:v>Cartão crédito</x:v>
      </x:c>
      <x:c r="M90" s="34" t="n">
        <x:v>25</x:v>
      </x:c>
      <x:c r="N90" t="str">
        <x:v>Roteador Wi-Fi AC1200</x:v>
      </x:c>
      <x:c r="O90" t="str">
        <x:v>Rede</x:v>
      </x:c>
      <x:c r="P90" t="str">
        <x:v>Connect Rede</x:v>
      </x:c>
      <x:c r="Q90" s="34" t="n">
        <x:v>1</x:v>
      </x:c>
      <x:c r="R90" s="36" t="n">
        <x:v>249.9</x:v>
      </x:c>
      <x:c r="S90" s="38" t="n">
        <x:v>0</x:v>
      </x:c>
      <x:c r="T90" s="36" t="n">
        <x:v>249.9</x:v>
      </x:c>
      <x:c r="U90" s="36" t="n">
        <x:v>249.9</x:v>
      </x:c>
      <x:c r="V90" s="36" t="n">
        <x:v>0</x:v>
      </x:c>
      <x:c r="W90" s="36" t="n">
        <x:v>249.9</x:v>
      </x:c>
      <x:c r="X90" s="36" t="n">
        <x:v>145</x:v>
      </x:c>
      <x:c r="Y90" s="36" t="n">
        <x:v>104.9</x:v>
      </x:c>
      <x:c r="Z90" s="38" t="n">
        <x:v>0.4198</x:v>
      </x:c>
      <x:c r="AA90" s="36" t="n">
        <x:v>25.86</x:v>
      </x:c>
      <x:c r="AB90" s="34" t="n">
        <x:v>7</x:v>
      </x:c>
      <x:c r="AC90" t="str"/>
    </x:row>
    <x:row r="91">
      <x:c r="A91" s="34" t="n">
        <x:v>90</x:v>
      </x:c>
      <x:c r="B91" s="34" t="n">
        <x:v>58</x:v>
      </x:c>
      <x:c r="C91" s="32" t="n">
        <x:v>46113</x:v>
      </x:c>
      <x:c r="D91" t="str">
        <x:v>2026-04</x:v>
      </x:c>
      <x:c r="E91" s="34" t="n">
        <x:v>28</x:v>
      </x:c>
      <x:c r="F91" t="str">
        <x:v>Gabriela Silva</x:v>
      </x:c>
      <x:c r="G91" t="str">
        <x:v>MG</x:v>
      </x:c>
      <x:c r="H91" t="str">
        <x:v>Belo Horizonte</x:v>
      </x:c>
      <x:c r="I91" s="34" t="n">
        <x:v>21</x:v>
      </x:c>
      <x:c r="J91" t="str">
        <x:v>ENTREGUE</x:v>
      </x:c>
      <x:c r="K91" t="str">
        <x:v>Instagram</x:v>
      </x:c>
      <x:c r="L91" t="str">
        <x:v>Cartão crédito</x:v>
      </x:c>
      <x:c r="M91" s="34" t="n">
        <x:v>10</x:v>
      </x:c>
      <x:c r="N91" t="str">
        <x:v>SSD 480GB SATA</x:v>
      </x:c>
      <x:c r="O91" t="str">
        <x:v>Armazenamento</x:v>
      </x:c>
      <x:c r="P91" t="str">
        <x:v>Mega Componentes</x:v>
      </x:c>
      <x:c r="Q91" s="34" t="n">
        <x:v>1</x:v>
      </x:c>
      <x:c r="R91" s="36" t="n">
        <x:v>259.9</x:v>
      </x:c>
      <x:c r="S91" s="38" t="n">
        <x:v>0.08</x:v>
      </x:c>
      <x:c r="T91" s="36" t="n">
        <x:v>239.11</x:v>
      </x:c>
      <x:c r="U91" s="36" t="n">
        <x:v>259.9</x:v>
      </x:c>
      <x:c r="V91" s="36" t="n">
        <x:v>20.79</x:v>
      </x:c>
      <x:c r="W91" s="36" t="n">
        <x:v>239.11</x:v>
      </x:c>
      <x:c r="X91" s="36" t="n">
        <x:v>158</x:v>
      </x:c>
      <x:c r="Y91" s="36" t="n">
        <x:v>81.11</x:v>
      </x:c>
      <x:c r="Z91" s="38" t="n">
        <x:v>0.3392</x:v>
      </x:c>
      <x:c r="AA91" s="36" t="n">
        <x:v>25.86</x:v>
      </x:c>
      <x:c r="AB91" s="34" t="n">
        <x:v>7</x:v>
      </x:c>
      <x:c r="AC91" t="str"/>
    </x:row>
    <x:row r="92">
      <x:c r="A92" s="34" t="n">
        <x:v>91</x:v>
      </x:c>
      <x:c r="B92" s="34" t="n">
        <x:v>59</x:v>
      </x:c>
      <x:c r="C92" s="32" t="n">
        <x:v>46089</x:v>
      </x:c>
      <x:c r="D92" t="str">
        <x:v>2026-03</x:v>
      </x:c>
      <x:c r="E92" s="34" t="n">
        <x:v>28</x:v>
      </x:c>
      <x:c r="F92" t="str">
        <x:v>Gabriela Silva</x:v>
      </x:c>
      <x:c r="G92" t="str">
        <x:v>MG</x:v>
      </x:c>
      <x:c r="H92" t="str">
        <x:v>Belo Horizonte</x:v>
      </x:c>
      <x:c r="I92" s="34" t="n">
        <x:v>21</x:v>
      </x:c>
      <x:c r="J92" t="str">
        <x:v>ENTREGUE</x:v>
      </x:c>
      <x:c r="K92" t="str">
        <x:v>Site</x:v>
      </x:c>
      <x:c r="L92" t="str">
        <x:v>Cartão débito</x:v>
      </x:c>
      <x:c r="M92" s="34" t="n">
        <x:v>28</x:v>
      </x:c>
      <x:c r="N92" t="str">
        <x:v>Repetidor Wi-Fi</x:v>
      </x:c>
      <x:c r="O92" t="str">
        <x:v>Rede</x:v>
      </x:c>
      <x:c r="P92" t="str">
        <x:v>Connect Rede</x:v>
      </x:c>
      <x:c r="Q92" s="34" t="n">
        <x:v>1</x:v>
      </x:c>
      <x:c r="R92" s="36" t="n">
        <x:v>139.9</x:v>
      </x:c>
      <x:c r="S92" s="38" t="n">
        <x:v>0.1</x:v>
      </x:c>
      <x:c r="T92" s="36" t="n">
        <x:v>125.91</x:v>
      </x:c>
      <x:c r="U92" s="36" t="n">
        <x:v>139.9</x:v>
      </x:c>
      <x:c r="V92" s="36" t="n">
        <x:v>13.99</x:v>
      </x:c>
      <x:c r="W92" s="36" t="n">
        <x:v>125.91</x:v>
      </x:c>
      <x:c r="X92" s="36" t="n">
        <x:v>69</x:v>
      </x:c>
      <x:c r="Y92" s="36" t="n">
        <x:v>56.91</x:v>
      </x:c>
      <x:c r="Z92" s="38" t="n">
        <x:v>0.452</x:v>
      </x:c>
      <x:c r="AA92" s="36" t="n">
        <x:v>23.98</x:v>
      </x:c>
      <x:c r="AB92" s="34" t="n">
        <x:v>3</x:v>
      </x:c>
      <x:c r="AC92" t="str"/>
    </x:row>
    <x:row r="93">
      <x:c r="A93" s="34" t="n">
        <x:v>92</x:v>
      </x:c>
      <x:c r="B93" s="34" t="n">
        <x:v>60</x:v>
      </x:c>
      <x:c r="C93" s="32" t="n">
        <x:v>46083</x:v>
      </x:c>
      <x:c r="D93" t="str">
        <x:v>2026-03</x:v>
      </x:c>
      <x:c r="E93" s="34" t="n">
        <x:v>39</x:v>
      </x:c>
      <x:c r="F93" t="str">
        <x:v>Eduarda Silva</x:v>
      </x:c>
      <x:c r="G93" t="str">
        <x:v>SP</x:v>
      </x:c>
      <x:c r="H93" t="str">
        <x:v>São José do Rio Preto</x:v>
      </x:c>
      <x:c r="I93" s="34" t="n">
        <x:v>40</x:v>
      </x:c>
      <x:c r="J93" t="str">
        <x:v>ENVIADO</x:v>
      </x:c>
      <x:c r="K93" t="str">
        <x:v>Site</x:v>
      </x:c>
      <x:c r="L93" t="str">
        <x:v>Pix</x:v>
      </x:c>
      <x:c r="M93" s="34" t="n">
        <x:v>8</x:v>
      </x:c>
      <x:c r="N93" t="str">
        <x:v>Suporte Articulado para Monitor</x:v>
      </x:c>
      <x:c r="O93" t="str">
        <x:v>Acessórios</x:v>
      </x:c>
      <x:c r="P93" t="str">
        <x:v>OfficeTech Supply</x:v>
      </x:c>
      <x:c r="Q93" s="34" t="n">
        <x:v>1</x:v>
      </x:c>
      <x:c r="R93" s="36" t="n">
        <x:v>149.9</x:v>
      </x:c>
      <x:c r="S93" s="38" t="n">
        <x:v>0</x:v>
      </x:c>
      <x:c r="T93" s="36" t="n">
        <x:v>149.9</x:v>
      </x:c>
      <x:c r="U93" s="36" t="n">
        <x:v>149.9</x:v>
      </x:c>
      <x:c r="V93" s="36" t="n">
        <x:v>0</x:v>
      </x:c>
      <x:c r="W93" s="36" t="n">
        <x:v>149.9</x:v>
      </x:c>
      <x:c r="X93" s="36" t="n">
        <x:v>73</x:v>
      </x:c>
      <x:c r="Y93" s="36" t="n">
        <x:v>76.9</x:v>
      </x:c>
      <x:c r="Z93" s="38" t="n">
        <x:v>0.513</x:v>
      </x:c>
      <x:c r="AA93" s="36" t="n">
        <x:v>35.17</x:v>
      </x:c>
      <x:c r="AB93" s="34" t="n">
        <x:v>2</x:v>
      </x:c>
      <x:c r="AC93" t="str"/>
    </x:row>
    <x:row r="94">
      <x:c r="A94" s="34" t="n">
        <x:v>93</x:v>
      </x:c>
      <x:c r="B94" s="34" t="n">
        <x:v>60</x:v>
      </x:c>
      <x:c r="C94" s="32" t="n">
        <x:v>46083</x:v>
      </x:c>
      <x:c r="D94" t="str">
        <x:v>2026-03</x:v>
      </x:c>
      <x:c r="E94" s="34" t="n">
        <x:v>39</x:v>
      </x:c>
      <x:c r="F94" t="str">
        <x:v>Eduarda Silva</x:v>
      </x:c>
      <x:c r="G94" t="str">
        <x:v>SP</x:v>
      </x:c>
      <x:c r="H94" t="str">
        <x:v>São José do Rio Preto</x:v>
      </x:c>
      <x:c r="I94" s="34" t="n">
        <x:v>40</x:v>
      </x:c>
      <x:c r="J94" t="str">
        <x:v>ENVIADO</x:v>
      </x:c>
      <x:c r="K94" t="str">
        <x:v>Site</x:v>
      </x:c>
      <x:c r="L94" t="str">
        <x:v>Pix</x:v>
      </x:c>
      <x:c r="M94" s="34" t="n">
        <x:v>2</x:v>
      </x:c>
      <x:c r="N94" t="str">
        <x:v>Teclado Membrana ABNT2</x:v>
      </x:c>
      <x:c r="O94" t="str">
        <x:v>Periféricos</x:v>
      </x:c>
      <x:c r="P94" t="str">
        <x:v>TechDistribuidora Brasil</x:v>
      </x:c>
      <x:c r="Q94" s="34" t="n">
        <x:v>1</x:v>
      </x:c>
      <x:c r="R94" s="36" t="n">
        <x:v>89.9</x:v>
      </x:c>
      <x:c r="S94" s="38" t="n">
        <x:v>0</x:v>
      </x:c>
      <x:c r="T94" s="36" t="n">
        <x:v>89.9</x:v>
      </x:c>
      <x:c r="U94" s="36" t="n">
        <x:v>89.9</x:v>
      </x:c>
      <x:c r="V94" s="36" t="n">
        <x:v>0</x:v>
      </x:c>
      <x:c r="W94" s="36" t="n">
        <x:v>89.9</x:v>
      </x:c>
      <x:c r="X94" s="36" t="n">
        <x:v>48</x:v>
      </x:c>
      <x:c r="Y94" s="36" t="n">
        <x:v>41.9</x:v>
      </x:c>
      <x:c r="Z94" s="38" t="n">
        <x:v>0.4661</x:v>
      </x:c>
      <x:c r="AA94" s="36" t="n">
        <x:v>35.17</x:v>
      </x:c>
      <x:c r="AB94" s="34" t="n">
        <x:v>2</x:v>
      </x:c>
      <x:c r="AC94" t="str"/>
    </x:row>
    <x:row r="95">
      <x:c r="A95" s="34" t="n">
        <x:v>94</x:v>
      </x:c>
      <x:c r="B95" s="34" t="n">
        <x:v>61</x:v>
      </x:c>
      <x:c r="C95" s="32" t="n">
        <x:v>46165</x:v>
      </x:c>
      <x:c r="D95" t="str">
        <x:v>2026-05</x:v>
      </x:c>
      <x:c r="E95" s="34" t="n">
        <x:v>24</x:v>
      </x:c>
      <x:c r="F95" t="str">
        <x:v>Gabriela Nascimento</x:v>
      </x:c>
      <x:c r="G95" t="str">
        <x:v>SP</x:v>
      </x:c>
      <x:c r="H95" t="str">
        <x:v>Votuporanga</x:v>
      </x:c>
      <x:c r="I95" s="34" t="n">
        <x:v>29</x:v>
      </x:c>
      <x:c r="J95" t="str">
        <x:v>ENVIADO</x:v>
      </x:c>
      <x:c r="K95" t="str">
        <x:v>Site</x:v>
      </x:c>
      <x:c r="L95" t="str">
        <x:v>Cartão crédito</x:v>
      </x:c>
      <x:c r="M95" s="34" t="n">
        <x:v>14</x:v>
      </x:c>
      <x:c r="N95" t="str">
        <x:v>Memória RAM 16GB DDR4</x:v>
      </x:c>
      <x:c r="O95" t="str">
        <x:v>Componentes</x:v>
      </x:c>
      <x:c r="P95" t="str">
        <x:v>Mega Componentes</x:v>
      </x:c>
      <x:c r="Q95" s="34" t="n">
        <x:v>1</x:v>
      </x:c>
      <x:c r="R95" s="36" t="n">
        <x:v>319.9</x:v>
      </x:c>
      <x:c r="S95" s="38" t="n">
        <x:v>0</x:v>
      </x:c>
      <x:c r="T95" s="36" t="n">
        <x:v>319.9</x:v>
      </x:c>
      <x:c r="U95" s="36" t="n">
        <x:v>319.9</x:v>
      </x:c>
      <x:c r="V95" s="36" t="n">
        <x:v>0</x:v>
      </x:c>
      <x:c r="W95" s="36" t="n">
        <x:v>319.9</x:v>
      </x:c>
      <x:c r="X95" s="36" t="n">
        <x:v>198</x:v>
      </x:c>
      <x:c r="Y95" s="36" t="n">
        <x:v>121.9</x:v>
      </x:c>
      <x:c r="Z95" s="38" t="n">
        <x:v>0.3811</x:v>
      </x:c>
      <x:c r="AA95" s="36" t="n">
        <x:v>30.63</x:v>
      </x:c>
      <x:c r="AB95" s="34" t="n">
        <x:v>1</x:v>
      </x:c>
      <x:c r="AC95" t="str"/>
    </x:row>
    <x:row r="96">
      <x:c r="A96" s="34" t="n">
        <x:v>95</x:v>
      </x:c>
      <x:c r="B96" s="34" t="n">
        <x:v>62</x:v>
      </x:c>
      <x:c r="C96" s="32" t="n">
        <x:v>46068</x:v>
      </x:c>
      <x:c r="D96" t="str">
        <x:v>2026-02</x:v>
      </x:c>
      <x:c r="E96" s="34" t="n">
        <x:v>29</x:v>
      </x:c>
      <x:c r="F96" t="str">
        <x:v>Thiago Carvalho</x:v>
      </x:c>
      <x:c r="G96" t="str">
        <x:v>SP</x:v>
      </x:c>
      <x:c r="H96" t="str">
        <x:v>São José do Rio Preto</x:v>
      </x:c>
      <x:c r="I96" s="34" t="n">
        <x:v>50</x:v>
      </x:c>
      <x:c r="J96" t="str">
        <x:v>ENTREGUE</x:v>
      </x:c>
      <x:c r="K96" t="str">
        <x:v>Marketplace</x:v>
      </x:c>
      <x:c r="L96" t="str">
        <x:v>Pix</x:v>
      </x:c>
      <x:c r="M96" s="34" t="n">
        <x:v>13</x:v>
      </x:c>
      <x:c r="N96" t="str">
        <x:v>Memória RAM 8GB DDR4</x:v>
      </x:c>
      <x:c r="O96" t="str">
        <x:v>Componentes</x:v>
      </x:c>
      <x:c r="P96" t="str">
        <x:v>Mega Componentes</x:v>
      </x:c>
      <x:c r="Q96" s="34" t="n">
        <x:v>1</x:v>
      </x:c>
      <x:c r="R96" s="36" t="n">
        <x:v>179.9</x:v>
      </x:c>
      <x:c r="S96" s="38" t="n">
        <x:v>0.05</x:v>
      </x:c>
      <x:c r="T96" s="36" t="n">
        <x:v>170.91</x:v>
      </x:c>
      <x:c r="U96" s="36" t="n">
        <x:v>179.9</x:v>
      </x:c>
      <x:c r="V96" s="36" t="n">
        <x:v>8.99</x:v>
      </x:c>
      <x:c r="W96" s="36" t="n">
        <x:v>170.91</x:v>
      </x:c>
      <x:c r="X96" s="36" t="n">
        <x:v>107</x:v>
      </x:c>
      <x:c r="Y96" s="36" t="n">
        <x:v>63.91</x:v>
      </x:c>
      <x:c r="Z96" s="38" t="n">
        <x:v>0.3739</x:v>
      </x:c>
      <x:c r="AA96" s="36" t="n">
        <x:v>34.16</x:v>
      </x:c>
      <x:c r="AB96" s="34" t="n">
        <x:v>6</x:v>
      </x:c>
      <x:c r="AC96" t="str"/>
    </x:row>
    <x:row r="97">
      <x:c r="A97" s="34" t="n">
        <x:v>96</x:v>
      </x:c>
      <x:c r="B97" s="34" t="n">
        <x:v>63</x:v>
      </x:c>
      <x:c r="C97" s="32" t="n">
        <x:v>46090</x:v>
      </x:c>
      <x:c r="D97" t="str">
        <x:v>2026-03</x:v>
      </x:c>
      <x:c r="E97" s="34" t="n">
        <x:v>52</x:v>
      </x:c>
      <x:c r="F97" t="str">
        <x:v>Henrique Gomes</x:v>
      </x:c>
      <x:c r="G97" t="str">
        <x:v>SP</x:v>
      </x:c>
      <x:c r="H97" t="str">
        <x:v>Catanduva</x:v>
      </x:c>
      <x:c r="I97" s="34" t="n">
        <x:v>27</x:v>
      </x:c>
      <x:c r="J97" t="str">
        <x:v>CANCELADO</x:v>
      </x:c>
      <x:c r="K97" t="str">
        <x:v>WhatsApp</x:v>
      </x:c>
      <x:c r="L97" t="str">
        <x:v>Cartão crédito</x:v>
      </x:c>
      <x:c r="M97" s="34" t="n">
        <x:v>26</x:v>
      </x:c>
      <x:c r="N97" t="str">
        <x:v>Switch 8 Portas Gigabit</x:v>
      </x:c>
      <x:c r="O97" t="str">
        <x:v>Rede</x:v>
      </x:c>
      <x:c r="P97" t="str">
        <x:v>Connect Rede</x:v>
      </x:c>
      <x:c r="Q97" s="34" t="n">
        <x:v>2</x:v>
      </x:c>
      <x:c r="R97" s="36" t="n">
        <x:v>189.9</x:v>
      </x:c>
      <x:c r="S97" s="38" t="n">
        <x:v>0</x:v>
      </x:c>
      <x:c r="T97" s="36" t="n">
        <x:v>189.9</x:v>
      </x:c>
      <x:c r="U97" s="36" t="n">
        <x:v>379.8</x:v>
      </x:c>
      <x:c r="V97" s="36" t="n">
        <x:v>0</x:v>
      </x:c>
      <x:c r="W97" s="36" t="n">
        <x:v>0</x:v>
      </x:c>
      <x:c r="X97" s="36" t="n">
        <x:v>206</x:v>
      </x:c>
      <x:c r="Y97" s="36" t="n">
        <x:v>0</x:v>
      </x:c>
      <x:c r="Z97" s="38" t="n">
        <x:v>0</x:v>
      </x:c>
      <x:c r="AA97" s="36" t="n">
        <x:v>51.69</x:v>
      </x:c>
      <x:c r="AB97" s="34"/>
      <x:c r="AC97" t="str">
        <x:v>Falha na aprovação do pedido</x:v>
      </x:c>
    </x:row>
    <x:row r="98">
      <x:c r="A98" s="34" t="n">
        <x:v>97</x:v>
      </x:c>
      <x:c r="B98" s="34" t="n">
        <x:v>63</x:v>
      </x:c>
      <x:c r="C98" s="32" t="n">
        <x:v>46090</x:v>
      </x:c>
      <x:c r="D98" t="str">
        <x:v>2026-03</x:v>
      </x:c>
      <x:c r="E98" s="34" t="n">
        <x:v>52</x:v>
      </x:c>
      <x:c r="F98" t="str">
        <x:v>Henrique Gomes</x:v>
      </x:c>
      <x:c r="G98" t="str">
        <x:v>SP</x:v>
      </x:c>
      <x:c r="H98" t="str">
        <x:v>Catanduva</x:v>
      </x:c>
      <x:c r="I98" s="34" t="n">
        <x:v>27</x:v>
      </x:c>
      <x:c r="J98" t="str">
        <x:v>CANCELADO</x:v>
      </x:c>
      <x:c r="K98" t="str">
        <x:v>WhatsApp</x:v>
      </x:c>
      <x:c r="L98" t="str">
        <x:v>Cartão crédito</x:v>
      </x:c>
      <x:c r="M98" s="34" t="n">
        <x:v>6</x:v>
      </x:c>
      <x:c r="N98" t="str">
        <x:v>Cabo HDMI 2m</x:v>
      </x:c>
      <x:c r="O98" t="str">
        <x:v>Acessórios</x:v>
      </x:c>
      <x:c r="P98" t="str">
        <x:v>Prime Eletrônicos</x:v>
      </x:c>
      <x:c r="Q98" s="34" t="n">
        <x:v>1</x:v>
      </x:c>
      <x:c r="R98" s="36" t="n">
        <x:v>29.9</x:v>
      </x:c>
      <x:c r="S98" s="38" t="n">
        <x:v>0</x:v>
      </x:c>
      <x:c r="T98" s="36" t="n">
        <x:v>29.9</x:v>
      </x:c>
      <x:c r="U98" s="36" t="n">
        <x:v>29.9</x:v>
      </x:c>
      <x:c r="V98" s="36" t="n">
        <x:v>0</x:v>
      </x:c>
      <x:c r="W98" s="36" t="n">
        <x:v>0</x:v>
      </x:c>
      <x:c r="X98" s="36" t="n">
        <x:v>10</x:v>
      </x:c>
      <x:c r="Y98" s="36" t="n">
        <x:v>0</x:v>
      </x:c>
      <x:c r="Z98" s="38" t="n">
        <x:v>0</x:v>
      </x:c>
      <x:c r="AA98" s="36" t="n">
        <x:v>51.69</x:v>
      </x:c>
      <x:c r="AB98" s="34"/>
      <x:c r="AC98" t="str">
        <x:v>Falha na aprovação do pedido</x:v>
      </x:c>
    </x:row>
    <x:row r="99">
      <x:c r="A99" s="34" t="n">
        <x:v>98</x:v>
      </x:c>
      <x:c r="B99" s="34" t="n">
        <x:v>64</x:v>
      </x:c>
      <x:c r="C99" s="32" t="n">
        <x:v>46132</x:v>
      </x:c>
      <x:c r="D99" t="str">
        <x:v>2026-04</x:v>
      </x:c>
      <x:c r="E99" s="34" t="n">
        <x:v>51</x:v>
      </x:c>
      <x:c r="F99" t="str">
        <x:v>Sofia Martins</x:v>
      </x:c>
      <x:c r="G99" t="str">
        <x:v>PR</x:v>
      </x:c>
      <x:c r="H99" t="str">
        <x:v>Curitiba</x:v>
      </x:c>
      <x:c r="I99" s="34" t="n">
        <x:v>23</x:v>
      </x:c>
      <x:c r="J99" t="str">
        <x:v>CANCELADO</x:v>
      </x:c>
      <x:c r="K99" t="str">
        <x:v>WhatsApp</x:v>
      </x:c>
      <x:c r="L99" t="str">
        <x:v>Cartão crédito</x:v>
      </x:c>
      <x:c r="M99" s="34" t="n">
        <x:v>25</x:v>
      </x:c>
      <x:c r="N99" t="str">
        <x:v>Roteador Wi-Fi AC1200</x:v>
      </x:c>
      <x:c r="O99" t="str">
        <x:v>Rede</x:v>
      </x:c>
      <x:c r="P99" t="str">
        <x:v>Connect Rede</x:v>
      </x:c>
      <x:c r="Q99" s="34" t="n">
        <x:v>3</x:v>
      </x:c>
      <x:c r="R99" s="36" t="n">
        <x:v>249.9</x:v>
      </x:c>
      <x:c r="S99" s="38" t="n">
        <x:v>0</x:v>
      </x:c>
      <x:c r="T99" s="36" t="n">
        <x:v>249.9</x:v>
      </x:c>
      <x:c r="U99" s="36" t="n">
        <x:v>749.7</x:v>
      </x:c>
      <x:c r="V99" s="36" t="n">
        <x:v>0</x:v>
      </x:c>
      <x:c r="W99" s="36" t="n">
        <x:v>0</x:v>
      </x:c>
      <x:c r="X99" s="36" t="n">
        <x:v>435</x:v>
      </x:c>
      <x:c r="Y99" s="36" t="n">
        <x:v>0</x:v>
      </x:c>
      <x:c r="Z99" s="38" t="n">
        <x:v>0</x:v>
      </x:c>
      <x:c r="AA99" s="36" t="n">
        <x:v>15.98</x:v>
      </x:c>
      <x:c r="AB99" s="34"/>
      <x:c r="AC99" t="str">
        <x:v>Erro de endereço</x:v>
      </x:c>
    </x:row>
    <x:row r="100">
      <x:c r="A100" s="34" t="n">
        <x:v>99</x:v>
      </x:c>
      <x:c r="B100" s="34" t="n">
        <x:v>65</x:v>
      </x:c>
      <x:c r="C100" s="32" t="n">
        <x:v>46176</x:v>
      </x:c>
      <x:c r="D100" t="str">
        <x:v>2026-06</x:v>
      </x:c>
      <x:c r="E100" s="34" t="n">
        <x:v>5</x:v>
      </x:c>
      <x:c r="F100" t="str">
        <x:v>Olívia Gomes</x:v>
      </x:c>
      <x:c r="G100" t="str">
        <x:v>GO</x:v>
      </x:c>
      <x:c r="H100" t="str">
        <x:v>Goiânia</x:v>
      </x:c>
      <x:c r="I100" s="34" t="n">
        <x:v>41</x:v>
      </x:c>
      <x:c r="J100" t="str">
        <x:v>ENTREGUE</x:v>
      </x:c>
      <x:c r="K100" t="str">
        <x:v>WhatsApp</x:v>
      </x:c>
      <x:c r="L100" t="str">
        <x:v>Pix</x:v>
      </x:c>
      <x:c r="M100" s="34" t="n">
        <x:v>30</x:v>
      </x:c>
      <x:c r="N100" t="str">
        <x:v>No-break 600VA</x:v>
      </x:c>
      <x:c r="O100" t="str">
        <x:v>Office</x:v>
      </x:c>
      <x:c r="P100" t="str">
        <x:v>OfficeTech Supply</x:v>
      </x:c>
      <x:c r="Q100" s="34" t="n">
        <x:v>3</x:v>
      </x:c>
      <x:c r="R100" s="36" t="n">
        <x:v>429.9</x:v>
      </x:c>
      <x:c r="S100" s="38" t="n">
        <x:v>0.03</x:v>
      </x:c>
      <x:c r="T100" s="36" t="n">
        <x:v>417</x:v>
      </x:c>
      <x:c r="U100" s="36" t="n">
        <x:v>1289.7</x:v>
      </x:c>
      <x:c r="V100" s="36" t="n">
        <x:v>38.7</x:v>
      </x:c>
      <x:c r="W100" s="36" t="n">
        <x:v>1251</x:v>
      </x:c>
      <x:c r="X100" s="36" t="n">
        <x:v>894</x:v>
      </x:c>
      <x:c r="Y100" s="36" t="n">
        <x:v>357</x:v>
      </x:c>
      <x:c r="Z100" s="38" t="n">
        <x:v>0.2854</x:v>
      </x:c>
      <x:c r="AA100" s="36" t="n">
        <x:v>34.91</x:v>
      </x:c>
      <x:c r="AB100" s="34" t="n">
        <x:v>1</x:v>
      </x:c>
      <x:c r="AC100" t="str"/>
    </x:row>
    <x:row r="101">
      <x:c r="A101" s="34" t="n">
        <x:v>100</x:v>
      </x:c>
      <x:c r="B101" s="34" t="n">
        <x:v>66</x:v>
      </x:c>
      <x:c r="C101" s="32" t="n">
        <x:v>46165</x:v>
      </x:c>
      <x:c r="D101" t="str">
        <x:v>2026-05</x:v>
      </x:c>
      <x:c r="E101" s="34" t="n">
        <x:v>44</x:v>
      </x:c>
      <x:c r="F101" t="str">
        <x:v>Larissa Nascimento</x:v>
      </x:c>
      <x:c r="G101" t="str">
        <x:v>SP</x:v>
      </x:c>
      <x:c r="H101" t="str">
        <x:v>São José do Rio Preto</x:v>
      </x:c>
      <x:c r="I101" s="34" t="n">
        <x:v>25</x:v>
      </x:c>
      <x:c r="J101" t="str">
        <x:v>ENTREGUE</x:v>
      </x:c>
      <x:c r="K101" t="str">
        <x:v>Instagram</x:v>
      </x:c>
      <x:c r="L101" t="str">
        <x:v>Cartão débito</x:v>
      </x:c>
      <x:c r="M101" s="34" t="n">
        <x:v>2</x:v>
      </x:c>
      <x:c r="N101" t="str">
        <x:v>Teclado Membrana ABNT2</x:v>
      </x:c>
      <x:c r="O101" t="str">
        <x:v>Periféricos</x:v>
      </x:c>
      <x:c r="P101" t="str">
        <x:v>TechDistribuidora Brasil</x:v>
      </x:c>
      <x:c r="Q101" s="34" t="n">
        <x:v>2</x:v>
      </x:c>
      <x:c r="R101" s="36" t="n">
        <x:v>89.9</x:v>
      </x:c>
      <x:c r="S101" s="38" t="n">
        <x:v>0.03</x:v>
      </x:c>
      <x:c r="T101" s="36" t="n">
        <x:v>87.2</x:v>
      </x:c>
      <x:c r="U101" s="36" t="n">
        <x:v>179.8</x:v>
      </x:c>
      <x:c r="V101" s="36" t="n">
        <x:v>5.4</x:v>
      </x:c>
      <x:c r="W101" s="36" t="n">
        <x:v>174.4</x:v>
      </x:c>
      <x:c r="X101" s="36" t="n">
        <x:v>96</x:v>
      </x:c>
      <x:c r="Y101" s="36" t="n">
        <x:v>78.4</x:v>
      </x:c>
      <x:c r="Z101" s="38" t="n">
        <x:v>0.4495</x:v>
      </x:c>
      <x:c r="AA101" s="36" t="n">
        <x:v>42.59</x:v>
      </x:c>
      <x:c r="AB101" s="34" t="n">
        <x:v>6</x:v>
      </x:c>
      <x:c r="AC101" t="str"/>
    </x:row>
    <x:row r="102">
      <x:c r="A102" s="34" t="n">
        <x:v>101</x:v>
      </x:c>
      <x:c r="B102" s="34" t="n">
        <x:v>66</x:v>
      </x:c>
      <x:c r="C102" s="32" t="n">
        <x:v>46165</x:v>
      </x:c>
      <x:c r="D102" t="str">
        <x:v>2026-05</x:v>
      </x:c>
      <x:c r="E102" s="34" t="n">
        <x:v>44</x:v>
      </x:c>
      <x:c r="F102" t="str">
        <x:v>Larissa Nascimento</x:v>
      </x:c>
      <x:c r="G102" t="str">
        <x:v>SP</x:v>
      </x:c>
      <x:c r="H102" t="str">
        <x:v>São José do Rio Preto</x:v>
      </x:c>
      <x:c r="I102" s="34" t="n">
        <x:v>25</x:v>
      </x:c>
      <x:c r="J102" t="str">
        <x:v>ENTREGUE</x:v>
      </x:c>
      <x:c r="K102" t="str">
        <x:v>Instagram</x:v>
      </x:c>
      <x:c r="L102" t="str">
        <x:v>Cartão débito</x:v>
      </x:c>
      <x:c r="M102" s="34" t="n">
        <x:v>26</x:v>
      </x:c>
      <x:c r="N102" t="str">
        <x:v>Switch 8 Portas Gigabit</x:v>
      </x:c>
      <x:c r="O102" t="str">
        <x:v>Rede</x:v>
      </x:c>
      <x:c r="P102" t="str">
        <x:v>Connect Rede</x:v>
      </x:c>
      <x:c r="Q102" s="34" t="n">
        <x:v>1</x:v>
      </x:c>
      <x:c r="R102" s="36" t="n">
        <x:v>189.9</x:v>
      </x:c>
      <x:c r="S102" s="38" t="n">
        <x:v>0</x:v>
      </x:c>
      <x:c r="T102" s="36" t="n">
        <x:v>189.9</x:v>
      </x:c>
      <x:c r="U102" s="36" t="n">
        <x:v>189.9</x:v>
      </x:c>
      <x:c r="V102" s="36" t="n">
        <x:v>0</x:v>
      </x:c>
      <x:c r="W102" s="36" t="n">
        <x:v>189.9</x:v>
      </x:c>
      <x:c r="X102" s="36" t="n">
        <x:v>103</x:v>
      </x:c>
      <x:c r="Y102" s="36" t="n">
        <x:v>86.9</x:v>
      </x:c>
      <x:c r="Z102" s="38" t="n">
        <x:v>0.4576</x:v>
      </x:c>
      <x:c r="AA102" s="36" t="n">
        <x:v>42.59</x:v>
      </x:c>
      <x:c r="AB102" s="34" t="n">
        <x:v>6</x:v>
      </x:c>
      <x:c r="AC102" t="str"/>
    </x:row>
    <x:row r="103">
      <x:c r="A103" s="34" t="n">
        <x:v>102</x:v>
      </x:c>
      <x:c r="B103" s="34" t="n">
        <x:v>67</x:v>
      </x:c>
      <x:c r="C103" s="32" t="n">
        <x:v>46166</x:v>
      </x:c>
      <x:c r="D103" t="str">
        <x:v>2026-05</x:v>
      </x:c>
      <x:c r="E103" s="34" t="n">
        <x:v>15</x:v>
      </x:c>
      <x:c r="F103" t="str">
        <x:v>Beatriz Araujo</x:v>
      </x:c>
      <x:c r="G103" t="str">
        <x:v>SP</x:v>
      </x:c>
      <x:c r="H103" t="str">
        <x:v>São José do Rio Preto</x:v>
      </x:c>
      <x:c r="I103" s="34" t="n">
        <x:v>56</x:v>
      </x:c>
      <x:c r="J103" t="str">
        <x:v>CANCELADO</x:v>
      </x:c>
      <x:c r="K103" t="str">
        <x:v>Indicação</x:v>
      </x:c>
      <x:c r="L103" t="str">
        <x:v>Pix</x:v>
      </x:c>
      <x:c r="M103" s="34" t="n">
        <x:v>28</x:v>
      </x:c>
      <x:c r="N103" t="str">
        <x:v>Repetidor Wi-Fi</x:v>
      </x:c>
      <x:c r="O103" t="str">
        <x:v>Rede</x:v>
      </x:c>
      <x:c r="P103" t="str">
        <x:v>Connect Rede</x:v>
      </x:c>
      <x:c r="Q103" s="34" t="n">
        <x:v>1</x:v>
      </x:c>
      <x:c r="R103" s="36" t="n">
        <x:v>139.9</x:v>
      </x:c>
      <x:c r="S103" s="38" t="n">
        <x:v>0.03</x:v>
      </x:c>
      <x:c r="T103" s="36" t="n">
        <x:v>135.7</x:v>
      </x:c>
      <x:c r="U103" s="36" t="n">
        <x:v>139.9</x:v>
      </x:c>
      <x:c r="V103" s="36" t="n">
        <x:v>4.2</x:v>
      </x:c>
      <x:c r="W103" s="36" t="n">
        <x:v>0</x:v>
      </x:c>
      <x:c r="X103" s="36" t="n">
        <x:v>69</x:v>
      </x:c>
      <x:c r="Y103" s="36" t="n">
        <x:v>0</x:v>
      </x:c>
      <x:c r="Z103" s="38" t="n">
        <x:v>0</x:v>
      </x:c>
      <x:c r="AA103" s="36" t="n">
        <x:v>31.93</x:v>
      </x:c>
      <x:c r="AB103" s="34"/>
      <x:c r="AC103" t="str">
        <x:v>Produto indisponível</x:v>
      </x:c>
    </x:row>
    <x:row r="104">
      <x:c r="A104" s="34" t="n">
        <x:v>103</x:v>
      </x:c>
      <x:c r="B104" s="34" t="n">
        <x:v>68</x:v>
      </x:c>
      <x:c r="C104" s="32" t="n">
        <x:v>46058</x:v>
      </x:c>
      <x:c r="D104" t="str">
        <x:v>2026-02</x:v>
      </x:c>
      <x:c r="E104" s="34" t="n">
        <x:v>42</x:v>
      </x:c>
      <x:c r="F104" t="str">
        <x:v>Diego Rodrigues</x:v>
      </x:c>
      <x:c r="G104" t="str">
        <x:v>GO</x:v>
      </x:c>
      <x:c r="H104" t="str">
        <x:v>Anápolis</x:v>
      </x:c>
      <x:c r="I104" s="34" t="n">
        <x:v>32</x:v>
      </x:c>
      <x:c r="J104" t="str">
        <x:v>EM PROCESSAMENTO</x:v>
      </x:c>
      <x:c r="K104" t="str">
        <x:v>WhatsApp</x:v>
      </x:c>
      <x:c r="L104" t="str">
        <x:v>Cartão crédito</x:v>
      </x:c>
      <x:c r="M104" s="34" t="n">
        <x:v>28</x:v>
      </x:c>
      <x:c r="N104" t="str">
        <x:v>Repetidor Wi-Fi</x:v>
      </x:c>
      <x:c r="O104" t="str">
        <x:v>Rede</x:v>
      </x:c>
      <x:c r="P104" t="str">
        <x:v>Connect Rede</x:v>
      </x:c>
      <x:c r="Q104" s="34" t="n">
        <x:v>1</x:v>
      </x:c>
      <x:c r="R104" s="36" t="n">
        <x:v>139.9</x:v>
      </x:c>
      <x:c r="S104" s="38" t="n">
        <x:v>0.08</x:v>
      </x:c>
      <x:c r="T104" s="36" t="n">
        <x:v>128.71</x:v>
      </x:c>
      <x:c r="U104" s="36" t="n">
        <x:v>139.9</x:v>
      </x:c>
      <x:c r="V104" s="36" t="n">
        <x:v>11.19</x:v>
      </x:c>
      <x:c r="W104" s="36" t="n">
        <x:v>128.71</x:v>
      </x:c>
      <x:c r="X104" s="36" t="n">
        <x:v>69</x:v>
      </x:c>
      <x:c r="Y104" s="36" t="n">
        <x:v>59.71</x:v>
      </x:c>
      <x:c r="Z104" s="38" t="n">
        <x:v>0.4639</x:v>
      </x:c>
      <x:c r="AA104" s="36" t="n">
        <x:v>50.46</x:v>
      </x:c>
      <x:c r="AB104" s="34"/>
      <x:c r="AC104" t="str"/>
    </x:row>
    <x:row r="105">
      <x:c r="A105" s="34" t="n">
        <x:v>104</x:v>
      </x:c>
      <x:c r="B105" s="34" t="n">
        <x:v>69</x:v>
      </x:c>
      <x:c r="C105" s="32" t="n">
        <x:v>46176</x:v>
      </x:c>
      <x:c r="D105" t="str">
        <x:v>2026-06</x:v>
      </x:c>
      <x:c r="E105" s="34" t="n">
        <x:v>53</x:v>
      </x:c>
      <x:c r="F105" t="str">
        <x:v>Carla Almeida</x:v>
      </x:c>
      <x:c r="G105" t="str">
        <x:v>SP</x:v>
      </x:c>
      <x:c r="H105" t="str">
        <x:v>Ribeirão Preto</x:v>
      </x:c>
      <x:c r="I105" s="34" t="n">
        <x:v>54</x:v>
      </x:c>
      <x:c r="J105" t="str">
        <x:v>ENTREGUE</x:v>
      </x:c>
      <x:c r="K105" t="str">
        <x:v>WhatsApp</x:v>
      </x:c>
      <x:c r="L105" t="str">
        <x:v>Cartão crédito</x:v>
      </x:c>
      <x:c r="M105" s="34" t="n">
        <x:v>2</x:v>
      </x:c>
      <x:c r="N105" t="str">
        <x:v>Teclado Membrana ABNT2</x:v>
      </x:c>
      <x:c r="O105" t="str">
        <x:v>Periféricos</x:v>
      </x:c>
      <x:c r="P105" t="str">
        <x:v>TechDistribuidora Brasil</x:v>
      </x:c>
      <x:c r="Q105" s="34" t="n">
        <x:v>1</x:v>
      </x:c>
      <x:c r="R105" s="36" t="n">
        <x:v>89.9</x:v>
      </x:c>
      <x:c r="S105" s="38" t="n">
        <x:v>0</x:v>
      </x:c>
      <x:c r="T105" s="36" t="n">
        <x:v>89.9</x:v>
      </x:c>
      <x:c r="U105" s="36" t="n">
        <x:v>89.9</x:v>
      </x:c>
      <x:c r="V105" s="36" t="n">
        <x:v>0</x:v>
      </x:c>
      <x:c r="W105" s="36" t="n">
        <x:v>89.9</x:v>
      </x:c>
      <x:c r="X105" s="36" t="n">
        <x:v>48</x:v>
      </x:c>
      <x:c r="Y105" s="36" t="n">
        <x:v>41.9</x:v>
      </x:c>
      <x:c r="Z105" s="38" t="n">
        <x:v>0.4661</x:v>
      </x:c>
      <x:c r="AA105" s="36" t="n">
        <x:v>58.77</x:v>
      </x:c>
      <x:c r="AB105" s="34" t="n">
        <x:v>5</x:v>
      </x:c>
      <x:c r="AC105" t="str"/>
    </x:row>
    <x:row r="106">
      <x:c r="A106" s="34" t="n">
        <x:v>105</x:v>
      </x:c>
      <x:c r="B106" s="34" t="n">
        <x:v>69</x:v>
      </x:c>
      <x:c r="C106" s="32" t="n">
        <x:v>46176</x:v>
      </x:c>
      <x:c r="D106" t="str">
        <x:v>2026-06</x:v>
      </x:c>
      <x:c r="E106" s="34" t="n">
        <x:v>53</x:v>
      </x:c>
      <x:c r="F106" t="str">
        <x:v>Carla Almeida</x:v>
      </x:c>
      <x:c r="G106" t="str">
        <x:v>SP</x:v>
      </x:c>
      <x:c r="H106" t="str">
        <x:v>Ribeirão Preto</x:v>
      </x:c>
      <x:c r="I106" s="34" t="n">
        <x:v>54</x:v>
      </x:c>
      <x:c r="J106" t="str">
        <x:v>ENTREGUE</x:v>
      </x:c>
      <x:c r="K106" t="str">
        <x:v>WhatsApp</x:v>
      </x:c>
      <x:c r="L106" t="str">
        <x:v>Cartão crédito</x:v>
      </x:c>
      <x:c r="M106" s="34" t="n">
        <x:v>28</x:v>
      </x:c>
      <x:c r="N106" t="str">
        <x:v>Repetidor Wi-Fi</x:v>
      </x:c>
      <x:c r="O106" t="str">
        <x:v>Rede</x:v>
      </x:c>
      <x:c r="P106" t="str">
        <x:v>Connect Rede</x:v>
      </x:c>
      <x:c r="Q106" s="34" t="n">
        <x:v>1</x:v>
      </x:c>
      <x:c r="R106" s="36" t="n">
        <x:v>139.9</x:v>
      </x:c>
      <x:c r="S106" s="38" t="n">
        <x:v>0.08</x:v>
      </x:c>
      <x:c r="T106" s="36" t="n">
        <x:v>128.71</x:v>
      </x:c>
      <x:c r="U106" s="36" t="n">
        <x:v>139.9</x:v>
      </x:c>
      <x:c r="V106" s="36" t="n">
        <x:v>11.19</x:v>
      </x:c>
      <x:c r="W106" s="36" t="n">
        <x:v>128.71</x:v>
      </x:c>
      <x:c r="X106" s="36" t="n">
        <x:v>69</x:v>
      </x:c>
      <x:c r="Y106" s="36" t="n">
        <x:v>59.71</x:v>
      </x:c>
      <x:c r="Z106" s="38" t="n">
        <x:v>0.4639</x:v>
      </x:c>
      <x:c r="AA106" s="36" t="n">
        <x:v>58.77</x:v>
      </x:c>
      <x:c r="AB106" s="34" t="n">
        <x:v>5</x:v>
      </x:c>
      <x:c r="AC106" t="str"/>
    </x:row>
    <x:row r="107">
      <x:c r="A107" s="34" t="n">
        <x:v>106</x:v>
      </x:c>
      <x:c r="B107" s="34" t="n">
        <x:v>69</x:v>
      </x:c>
      <x:c r="C107" s="32" t="n">
        <x:v>46176</x:v>
      </x:c>
      <x:c r="D107" t="str">
        <x:v>2026-06</x:v>
      </x:c>
      <x:c r="E107" s="34" t="n">
        <x:v>53</x:v>
      </x:c>
      <x:c r="F107" t="str">
        <x:v>Carla Almeida</x:v>
      </x:c>
      <x:c r="G107" t="str">
        <x:v>SP</x:v>
      </x:c>
      <x:c r="H107" t="str">
        <x:v>Ribeirão Preto</x:v>
      </x:c>
      <x:c r="I107" s="34" t="n">
        <x:v>54</x:v>
      </x:c>
      <x:c r="J107" t="str">
        <x:v>ENTREGUE</x:v>
      </x:c>
      <x:c r="K107" t="str">
        <x:v>WhatsApp</x:v>
      </x:c>
      <x:c r="L107" t="str">
        <x:v>Cartão crédito</x:v>
      </x:c>
      <x:c r="M107" s="34" t="n">
        <x:v>20</x:v>
      </x:c>
      <x:c r="N107" t="str">
        <x:v>Monitor IPS 24"</x:v>
      </x:c>
      <x:c r="O107" t="str">
        <x:v>Monitores</x:v>
      </x:c>
      <x:c r="P107" t="str">
        <x:v>Brasil Monitores</x:v>
      </x:c>
      <x:c r="Q107" s="34" t="n">
        <x:v>1</x:v>
      </x:c>
      <x:c r="R107" s="36" t="n">
        <x:v>899.9</x:v>
      </x:c>
      <x:c r="S107" s="38" t="n">
        <x:v>0</x:v>
      </x:c>
      <x:c r="T107" s="36" t="n">
        <x:v>899.9</x:v>
      </x:c>
      <x:c r="U107" s="36" t="n">
        <x:v>899.9</x:v>
      </x:c>
      <x:c r="V107" s="36" t="n">
        <x:v>0</x:v>
      </x:c>
      <x:c r="W107" s="36" t="n">
        <x:v>899.9</x:v>
      </x:c>
      <x:c r="X107" s="36" t="n">
        <x:v>665</x:v>
      </x:c>
      <x:c r="Y107" s="36" t="n">
        <x:v>234.9</x:v>
      </x:c>
      <x:c r="Z107" s="38" t="n">
        <x:v>0.261</x:v>
      </x:c>
      <x:c r="AA107" s="36" t="n">
        <x:v>58.77</x:v>
      </x:c>
      <x:c r="AB107" s="34" t="n">
        <x:v>5</x:v>
      </x:c>
      <x:c r="AC107" t="str"/>
    </x:row>
    <x:row r="108">
      <x:c r="A108" s="34" t="n">
        <x:v>107</x:v>
      </x:c>
      <x:c r="B108" s="34" t="n">
        <x:v>70</x:v>
      </x:c>
      <x:c r="C108" s="32" t="n">
        <x:v>46041</x:v>
      </x:c>
      <x:c r="D108" t="str">
        <x:v>2026-01</x:v>
      </x:c>
      <x:c r="E108" s="34" t="n">
        <x:v>11</x:v>
      </x:c>
      <x:c r="F108" t="str">
        <x:v>Felipe Martins</x:v>
      </x:c>
      <x:c r="G108" t="str">
        <x:v>RJ</x:v>
      </x:c>
      <x:c r="H108" t="str">
        <x:v>Rio de Janeiro</x:v>
      </x:c>
      <x:c r="I108" s="34" t="n">
        <x:v>42</x:v>
      </x:c>
      <x:c r="J108" t="str">
        <x:v>ENTREGUE</x:v>
      </x:c>
      <x:c r="K108" t="str">
        <x:v>WhatsApp</x:v>
      </x:c>
      <x:c r="L108" t="str">
        <x:v>Cartão crédito</x:v>
      </x:c>
      <x:c r="M108" s="34" t="n">
        <x:v>8</x:v>
      </x:c>
      <x:c r="N108" t="str">
        <x:v>Suporte Articulado para Monitor</x:v>
      </x:c>
      <x:c r="O108" t="str">
        <x:v>Acessórios</x:v>
      </x:c>
      <x:c r="P108" t="str">
        <x:v>OfficeTech Supply</x:v>
      </x:c>
      <x:c r="Q108" s="34" t="n">
        <x:v>4</x:v>
      </x:c>
      <x:c r="R108" s="36" t="n">
        <x:v>149.9</x:v>
      </x:c>
      <x:c r="S108" s="38" t="n">
        <x:v>0.12</x:v>
      </x:c>
      <x:c r="T108" s="36" t="n">
        <x:v>131.91</x:v>
      </x:c>
      <x:c r="U108" s="36" t="n">
        <x:v>599.6</x:v>
      </x:c>
      <x:c r="V108" s="36" t="n">
        <x:v>71.96</x:v>
      </x:c>
      <x:c r="W108" s="36" t="n">
        <x:v>527.64</x:v>
      </x:c>
      <x:c r="X108" s="36" t="n">
        <x:v>292</x:v>
      </x:c>
      <x:c r="Y108" s="36" t="n">
        <x:v>235.64</x:v>
      </x:c>
      <x:c r="Z108" s="38" t="n">
        <x:v>0.4466</x:v>
      </x:c>
      <x:c r="AA108" s="36" t="n">
        <x:v>24.07</x:v>
      </x:c>
      <x:c r="AB108" s="34" t="n">
        <x:v>7</x:v>
      </x:c>
      <x:c r="AC108" t="str"/>
    </x:row>
    <x:row r="109">
      <x:c r="A109" s="34" t="n">
        <x:v>108</x:v>
      </x:c>
      <x:c r="B109" s="34" t="n">
        <x:v>71</x:v>
      </x:c>
      <x:c r="C109" s="32" t="n">
        <x:v>46139</x:v>
      </x:c>
      <x:c r="D109" t="str">
        <x:v>2026-04</x:v>
      </x:c>
      <x:c r="E109" s="34" t="n">
        <x:v>24</x:v>
      </x:c>
      <x:c r="F109" t="str">
        <x:v>Gabriela Nascimento</x:v>
      </x:c>
      <x:c r="G109" t="str">
        <x:v>SP</x:v>
      </x:c>
      <x:c r="H109" t="str">
        <x:v>Votuporanga</x:v>
      </x:c>
      <x:c r="I109" s="34" t="n">
        <x:v>29</x:v>
      </x:c>
      <x:c r="J109" t="str">
        <x:v>ENVIADO</x:v>
      </x:c>
      <x:c r="K109" t="str">
        <x:v>Site</x:v>
      </x:c>
      <x:c r="L109" t="str">
        <x:v>Cartão débito</x:v>
      </x:c>
      <x:c r="M109" s="34" t="n">
        <x:v>2</x:v>
      </x:c>
      <x:c r="N109" t="str">
        <x:v>Teclado Membrana ABNT2</x:v>
      </x:c>
      <x:c r="O109" t="str">
        <x:v>Periféricos</x:v>
      </x:c>
      <x:c r="P109" t="str">
        <x:v>TechDistribuidora Brasil</x:v>
      </x:c>
      <x:c r="Q109" s="34" t="n">
        <x:v>1</x:v>
      </x:c>
      <x:c r="R109" s="36" t="n">
        <x:v>89.9</x:v>
      </x:c>
      <x:c r="S109" s="38" t="n">
        <x:v>0.1</x:v>
      </x:c>
      <x:c r="T109" s="36" t="n">
        <x:v>80.91</x:v>
      </x:c>
      <x:c r="U109" s="36" t="n">
        <x:v>89.9</x:v>
      </x:c>
      <x:c r="V109" s="36" t="n">
        <x:v>8.99</x:v>
      </x:c>
      <x:c r="W109" s="36" t="n">
        <x:v>80.91</x:v>
      </x:c>
      <x:c r="X109" s="36" t="n">
        <x:v>48</x:v>
      </x:c>
      <x:c r="Y109" s="36" t="n">
        <x:v>32.91</x:v>
      </x:c>
      <x:c r="Z109" s="38" t="n">
        <x:v>0.4067</x:v>
      </x:c>
      <x:c r="AA109" s="36" t="n">
        <x:v>61.78</x:v>
      </x:c>
      <x:c r="AB109" s="34" t="n">
        <x:v>4</x:v>
      </x:c>
      <x:c r="AC109" t="str"/>
    </x:row>
    <x:row r="110">
      <x:c r="A110" s="34" t="n">
        <x:v>109</x:v>
      </x:c>
      <x:c r="B110" s="34" t="n">
        <x:v>71</x:v>
      </x:c>
      <x:c r="C110" s="32" t="n">
        <x:v>46139</x:v>
      </x:c>
      <x:c r="D110" t="str">
        <x:v>2026-04</x:v>
      </x:c>
      <x:c r="E110" s="34" t="n">
        <x:v>24</x:v>
      </x:c>
      <x:c r="F110" t="str">
        <x:v>Gabriela Nascimento</x:v>
      </x:c>
      <x:c r="G110" t="str">
        <x:v>SP</x:v>
      </x:c>
      <x:c r="H110" t="str">
        <x:v>Votuporanga</x:v>
      </x:c>
      <x:c r="I110" s="34" t="n">
        <x:v>29</x:v>
      </x:c>
      <x:c r="J110" t="str">
        <x:v>ENVIADO</x:v>
      </x:c>
      <x:c r="K110" t="str">
        <x:v>Site</x:v>
      </x:c>
      <x:c r="L110" t="str">
        <x:v>Cartão débito</x:v>
      </x:c>
      <x:c r="M110" s="34" t="n">
        <x:v>5</x:v>
      </x:c>
      <x:c r="N110" t="str">
        <x:v>Mousepad Grande</x:v>
      </x:c>
      <x:c r="O110" t="str">
        <x:v>Acessórios</x:v>
      </x:c>
      <x:c r="P110" t="str">
        <x:v>Prime Eletrônicos</x:v>
      </x:c>
      <x:c r="Q110" s="34" t="n">
        <x:v>4</x:v>
      </x:c>
      <x:c r="R110" s="36" t="n">
        <x:v>39.9</x:v>
      </x:c>
      <x:c r="S110" s="38" t="n">
        <x:v>0.08</x:v>
      </x:c>
      <x:c r="T110" s="36" t="n">
        <x:v>36.71</x:v>
      </x:c>
      <x:c r="U110" s="36" t="n">
        <x:v>159.6</x:v>
      </x:c>
      <x:c r="V110" s="36" t="n">
        <x:v>12.76</x:v>
      </x:c>
      <x:c r="W110" s="36" t="n">
        <x:v>146.84</x:v>
      </x:c>
      <x:c r="X110" s="36" t="n">
        <x:v>68</x:v>
      </x:c>
      <x:c r="Y110" s="36" t="n">
        <x:v>78.84</x:v>
      </x:c>
      <x:c r="Z110" s="38" t="n">
        <x:v>0.5369</x:v>
      </x:c>
      <x:c r="AA110" s="36" t="n">
        <x:v>61.78</x:v>
      </x:c>
      <x:c r="AB110" s="34" t="n">
        <x:v>4</x:v>
      </x:c>
      <x:c r="AC110" t="str"/>
    </x:row>
    <x:row r="111">
      <x:c r="A111" s="34" t="n">
        <x:v>110</x:v>
      </x:c>
      <x:c r="B111" s="34" t="n">
        <x:v>72</x:v>
      </x:c>
      <x:c r="C111" s="32" t="n">
        <x:v>46118</x:v>
      </x:c>
      <x:c r="D111" t="str">
        <x:v>2026-04</x:v>
      </x:c>
      <x:c r="E111" s="34" t="n">
        <x:v>47</x:v>
      </x:c>
      <x:c r="F111" t="str">
        <x:v>Nicolas Santos</x:v>
      </x:c>
      <x:c r="G111" t="str">
        <x:v>MS</x:v>
      </x:c>
      <x:c r="H111" t="str">
        <x:v>Três Lagoas</x:v>
      </x:c>
      <x:c r="I111" s="34" t="n">
        <x:v>57</x:v>
      </x:c>
      <x:c r="J111" t="str">
        <x:v>CANCELADO</x:v>
      </x:c>
      <x:c r="K111" t="str">
        <x:v>WhatsApp</x:v>
      </x:c>
      <x:c r="L111" t="str">
        <x:v>Pix</x:v>
      </x:c>
      <x:c r="M111" s="34" t="n">
        <x:v>19</x:v>
      </x:c>
      <x:c r="N111" t="str">
        <x:v>Monitor LED 21.5"</x:v>
      </x:c>
      <x:c r="O111" t="str">
        <x:v>Monitores</x:v>
      </x:c>
      <x:c r="P111" t="str">
        <x:v>Brasil Monitores</x:v>
      </x:c>
      <x:c r="Q111" s="34" t="n">
        <x:v>1</x:v>
      </x:c>
      <x:c r="R111" s="36" t="n">
        <x:v>679.9</x:v>
      </x:c>
      <x:c r="S111" s="38" t="n">
        <x:v>0</x:v>
      </x:c>
      <x:c r="T111" s="36" t="n">
        <x:v>679.9</x:v>
      </x:c>
      <x:c r="U111" s="36" t="n">
        <x:v>679.9</x:v>
      </x:c>
      <x:c r="V111" s="36" t="n">
        <x:v>0</x:v>
      </x:c>
      <x:c r="W111" s="36" t="n">
        <x:v>0</x:v>
      </x:c>
      <x:c r="X111" s="36" t="n">
        <x:v>495</x:v>
      </x:c>
      <x:c r="Y111" s="36" t="n">
        <x:v>0</x:v>
      </x:c>
      <x:c r="Z111" s="38" t="n">
        <x:v>0</x:v>
      </x:c>
      <x:c r="AA111" s="36" t="n">
        <x:v>20.83</x:v>
      </x:c>
      <x:c r="AB111" s="34"/>
      <x:c r="AC111" t="str">
        <x:v>Falta de estoque</x:v>
      </x:c>
    </x:row>
    <x:row r="112">
      <x:c r="A112" s="34" t="n">
        <x:v>111</x:v>
      </x:c>
      <x:c r="B112" s="34" t="n">
        <x:v>73</x:v>
      </x:c>
      <x:c r="C112" s="32" t="n">
        <x:v>46173</x:v>
      </x:c>
      <x:c r="D112" t="str">
        <x:v>2026-05</x:v>
      </x:c>
      <x:c r="E112" s="34" t="n">
        <x:v>38</x:v>
      </x:c>
      <x:c r="F112" t="str">
        <x:v>Diego Santos</x:v>
      </x:c>
      <x:c r="G112" t="str">
        <x:v>MS</x:v>
      </x:c>
      <x:c r="H112" t="str">
        <x:v>Campo Grande</x:v>
      </x:c>
      <x:c r="I112" s="34" t="n">
        <x:v>52</x:v>
      </x:c>
      <x:c r="J112" t="str">
        <x:v>ENVIADO</x:v>
      </x:c>
      <x:c r="K112" t="str">
        <x:v>Marketplace</x:v>
      </x:c>
      <x:c r="L112" t="str">
        <x:v>Cartão crédito</x:v>
      </x:c>
      <x:c r="M112" s="34" t="n">
        <x:v>1</x:v>
      </x:c>
      <x:c r="N112" t="str">
        <x:v>Mouse Óptico USB</x:v>
      </x:c>
      <x:c r="O112" t="str">
        <x:v>Periféricos</x:v>
      </x:c>
      <x:c r="P112" t="str">
        <x:v>TechDistribuidora Brasil</x:v>
      </x:c>
      <x:c r="Q112" s="34" t="n">
        <x:v>2</x:v>
      </x:c>
      <x:c r="R112" s="36" t="n">
        <x:v>49.9</x:v>
      </x:c>
      <x:c r="S112" s="38" t="n">
        <x:v>0</x:v>
      </x:c>
      <x:c r="T112" s="36" t="n">
        <x:v>49.9</x:v>
      </x:c>
      <x:c r="U112" s="36" t="n">
        <x:v>99.8</x:v>
      </x:c>
      <x:c r="V112" s="36" t="n">
        <x:v>0</x:v>
      </x:c>
      <x:c r="W112" s="36" t="n">
        <x:v>99.8</x:v>
      </x:c>
      <x:c r="X112" s="36" t="n">
        <x:v>50</x:v>
      </x:c>
      <x:c r="Y112" s="36" t="n">
        <x:v>49.8</x:v>
      </x:c>
      <x:c r="Z112" s="38" t="n">
        <x:v>0.499</x:v>
      </x:c>
      <x:c r="AA112" s="36" t="n">
        <x:v>32.09</x:v>
      </x:c>
      <x:c r="AB112" s="34" t="n">
        <x:v>1</x:v>
      </x:c>
      <x:c r="AC112" t="str"/>
    </x:row>
    <x:row r="113">
      <x:c r="A113" s="34" t="n">
        <x:v>112</x:v>
      </x:c>
      <x:c r="B113" s="34" t="n">
        <x:v>74</x:v>
      </x:c>
      <x:c r="C113" s="32" t="n">
        <x:v>46119</x:v>
      </x:c>
      <x:c r="D113" t="str">
        <x:v>2026-04</x:v>
      </x:c>
      <x:c r="E113" s="34" t="n">
        <x:v>47</x:v>
      </x:c>
      <x:c r="F113" t="str">
        <x:v>Nicolas Santos</x:v>
      </x:c>
      <x:c r="G113" t="str">
        <x:v>MS</x:v>
      </x:c>
      <x:c r="H113" t="str">
        <x:v>Três Lagoas</x:v>
      </x:c>
      <x:c r="I113" s="34" t="n">
        <x:v>57</x:v>
      </x:c>
      <x:c r="J113" t="str">
        <x:v>ENTREGUE</x:v>
      </x:c>
      <x:c r="K113" t="str">
        <x:v>Site</x:v>
      </x:c>
      <x:c r="L113" t="str">
        <x:v>Pix</x:v>
      </x:c>
      <x:c r="M113" s="34" t="n">
        <x:v>7</x:v>
      </x:c>
      <x:c r="N113" t="str">
        <x:v>Adaptador USB-C HDMI</x:v>
      </x:c>
      <x:c r="O113" t="str">
        <x:v>Acessórios</x:v>
      </x:c>
      <x:c r="P113" t="str">
        <x:v>Prime Eletrônicos</x:v>
      </x:c>
      <x:c r="Q113" s="34" t="n">
        <x:v>1</x:v>
      </x:c>
      <x:c r="R113" s="36" t="n">
        <x:v>119.9</x:v>
      </x:c>
      <x:c r="S113" s="38" t="n">
        <x:v>0</x:v>
      </x:c>
      <x:c r="T113" s="36" t="n">
        <x:v>119.9</x:v>
      </x:c>
      <x:c r="U113" s="36" t="n">
        <x:v>119.9</x:v>
      </x:c>
      <x:c r="V113" s="36" t="n">
        <x:v>0</x:v>
      </x:c>
      <x:c r="W113" s="36" t="n">
        <x:v>119.9</x:v>
      </x:c>
      <x:c r="X113" s="36" t="n">
        <x:v>58</x:v>
      </x:c>
      <x:c r="Y113" s="36" t="n">
        <x:v>61.9</x:v>
      </x:c>
      <x:c r="Z113" s="38" t="n">
        <x:v>0.5163</x:v>
      </x:c>
      <x:c r="AA113" s="36" t="n">
        <x:v>19.91</x:v>
      </x:c>
      <x:c r="AB113" s="34" t="n">
        <x:v>3</x:v>
      </x:c>
      <x:c r="AC113" t="str"/>
    </x:row>
    <x:row r="114">
      <x:c r="A114" s="34" t="n">
        <x:v>113</x:v>
      </x:c>
      <x:c r="B114" s="34" t="n">
        <x:v>75</x:v>
      </x:c>
      <x:c r="C114" s="32" t="n">
        <x:v>46158</x:v>
      </x:c>
      <x:c r="D114" t="str">
        <x:v>2026-05</x:v>
      </x:c>
      <x:c r="E114" s="34" t="n">
        <x:v>53</x:v>
      </x:c>
      <x:c r="F114" t="str">
        <x:v>Carla Almeida</x:v>
      </x:c>
      <x:c r="G114" t="str">
        <x:v>SP</x:v>
      </x:c>
      <x:c r="H114" t="str">
        <x:v>Ribeirão Preto</x:v>
      </x:c>
      <x:c r="I114" s="34" t="n">
        <x:v>54</x:v>
      </x:c>
      <x:c r="J114" t="str">
        <x:v>ENTREGUE</x:v>
      </x:c>
      <x:c r="K114" t="str">
        <x:v>Site</x:v>
      </x:c>
      <x:c r="L114" t="str">
        <x:v>Pix</x:v>
      </x:c>
      <x:c r="M114" s="34" t="n">
        <x:v>15</x:v>
      </x:c>
      <x:c r="N114" t="str">
        <x:v>Fonte 500W 80 Plus</x:v>
      </x:c>
      <x:c r="O114" t="str">
        <x:v>Componentes</x:v>
      </x:c>
      <x:c r="P114" t="str">
        <x:v>FastHardware</x:v>
      </x:c>
      <x:c r="Q114" s="34" t="n">
        <x:v>1</x:v>
      </x:c>
      <x:c r="R114" s="36" t="n">
        <x:v>289.9</x:v>
      </x:c>
      <x:c r="S114" s="38" t="n">
        <x:v>0</x:v>
      </x:c>
      <x:c r="T114" s="36" t="n">
        <x:v>289.9</x:v>
      </x:c>
      <x:c r="U114" s="36" t="n">
        <x:v>289.9</x:v>
      </x:c>
      <x:c r="V114" s="36" t="n">
        <x:v>0</x:v>
      </x:c>
      <x:c r="W114" s="36" t="n">
        <x:v>289.9</x:v>
      </x:c>
      <x:c r="X114" s="36" t="n">
        <x:v>182</x:v>
      </x:c>
      <x:c r="Y114" s="36" t="n">
        <x:v>107.9</x:v>
      </x:c>
      <x:c r="Z114" s="38" t="n">
        <x:v>0.3722</x:v>
      </x:c>
      <x:c r="AA114" s="36" t="n">
        <x:v>27.33</x:v>
      </x:c>
      <x:c r="AB114" s="34" t="n">
        <x:v>2</x:v>
      </x:c>
      <x:c r="AC114" t="str"/>
    </x:row>
    <x:row r="115">
      <x:c r="A115" s="34" t="n">
        <x:v>114</x:v>
      </x:c>
      <x:c r="B115" s="34" t="n">
        <x:v>75</x:v>
      </x:c>
      <x:c r="C115" s="32" t="n">
        <x:v>46158</x:v>
      </x:c>
      <x:c r="D115" t="str">
        <x:v>2026-05</x:v>
      </x:c>
      <x:c r="E115" s="34" t="n">
        <x:v>53</x:v>
      </x:c>
      <x:c r="F115" t="str">
        <x:v>Carla Almeida</x:v>
      </x:c>
      <x:c r="G115" t="str">
        <x:v>SP</x:v>
      </x:c>
      <x:c r="H115" t="str">
        <x:v>Ribeirão Preto</x:v>
      </x:c>
      <x:c r="I115" s="34" t="n">
        <x:v>54</x:v>
      </x:c>
      <x:c r="J115" t="str">
        <x:v>ENTREGUE</x:v>
      </x:c>
      <x:c r="K115" t="str">
        <x:v>Site</x:v>
      </x:c>
      <x:c r="L115" t="str">
        <x:v>Pix</x:v>
      </x:c>
      <x:c r="M115" s="34" t="n">
        <x:v>2</x:v>
      </x:c>
      <x:c r="N115" t="str">
        <x:v>Teclado Membrana ABNT2</x:v>
      </x:c>
      <x:c r="O115" t="str">
        <x:v>Periféricos</x:v>
      </x:c>
      <x:c r="P115" t="str">
        <x:v>TechDistribuidora Brasil</x:v>
      </x:c>
      <x:c r="Q115" s="34" t="n">
        <x:v>1</x:v>
      </x:c>
      <x:c r="R115" s="36" t="n">
        <x:v>89.9</x:v>
      </x:c>
      <x:c r="S115" s="38" t="n">
        <x:v>0</x:v>
      </x:c>
      <x:c r="T115" s="36" t="n">
        <x:v>89.9</x:v>
      </x:c>
      <x:c r="U115" s="36" t="n">
        <x:v>89.9</x:v>
      </x:c>
      <x:c r="V115" s="36" t="n">
        <x:v>0</x:v>
      </x:c>
      <x:c r="W115" s="36" t="n">
        <x:v>89.9</x:v>
      </x:c>
      <x:c r="X115" s="36" t="n">
        <x:v>48</x:v>
      </x:c>
      <x:c r="Y115" s="36" t="n">
        <x:v>41.9</x:v>
      </x:c>
      <x:c r="Z115" s="38" t="n">
        <x:v>0.4661</x:v>
      </x:c>
      <x:c r="AA115" s="36" t="n">
        <x:v>27.33</x:v>
      </x:c>
      <x:c r="AB115" s="34" t="n">
        <x:v>2</x:v>
      </x:c>
      <x:c r="AC115" t="str"/>
    </x:row>
    <x:row r="116">
      <x:c r="A116" s="34" t="n">
        <x:v>115</x:v>
      </x:c>
      <x:c r="B116" s="34" t="n">
        <x:v>75</x:v>
      </x:c>
      <x:c r="C116" s="32" t="n">
        <x:v>46158</x:v>
      </x:c>
      <x:c r="D116" t="str">
        <x:v>2026-05</x:v>
      </x:c>
      <x:c r="E116" s="34" t="n">
        <x:v>53</x:v>
      </x:c>
      <x:c r="F116" t="str">
        <x:v>Carla Almeida</x:v>
      </x:c>
      <x:c r="G116" t="str">
        <x:v>SP</x:v>
      </x:c>
      <x:c r="H116" t="str">
        <x:v>Ribeirão Preto</x:v>
      </x:c>
      <x:c r="I116" s="34" t="n">
        <x:v>54</x:v>
      </x:c>
      <x:c r="J116" t="str">
        <x:v>ENTREGUE</x:v>
      </x:c>
      <x:c r="K116" t="str">
        <x:v>Site</x:v>
      </x:c>
      <x:c r="L116" t="str">
        <x:v>Pix</x:v>
      </x:c>
      <x:c r="M116" s="34" t="n">
        <x:v>28</x:v>
      </x:c>
      <x:c r="N116" t="str">
        <x:v>Repetidor Wi-Fi</x:v>
      </x:c>
      <x:c r="O116" t="str">
        <x:v>Rede</x:v>
      </x:c>
      <x:c r="P116" t="str">
        <x:v>Connect Rede</x:v>
      </x:c>
      <x:c r="Q116" s="34" t="n">
        <x:v>1</x:v>
      </x:c>
      <x:c r="R116" s="36" t="n">
        <x:v>139.9</x:v>
      </x:c>
      <x:c r="S116" s="38" t="n">
        <x:v>0.03</x:v>
      </x:c>
      <x:c r="T116" s="36" t="n">
        <x:v>135.7</x:v>
      </x:c>
      <x:c r="U116" s="36" t="n">
        <x:v>139.9</x:v>
      </x:c>
      <x:c r="V116" s="36" t="n">
        <x:v>4.2</x:v>
      </x:c>
      <x:c r="W116" s="36" t="n">
        <x:v>135.7</x:v>
      </x:c>
      <x:c r="X116" s="36" t="n">
        <x:v>69</x:v>
      </x:c>
      <x:c r="Y116" s="36" t="n">
        <x:v>66.7</x:v>
      </x:c>
      <x:c r="Z116" s="38" t="n">
        <x:v>0.4915</x:v>
      </x:c>
      <x:c r="AA116" s="36" t="n">
        <x:v>27.33</x:v>
      </x:c>
      <x:c r="AB116" s="34" t="n">
        <x:v>2</x:v>
      </x:c>
      <x:c r="AC116" t="str"/>
    </x:row>
    <x:row r="117">
      <x:c r="A117" s="34" t="n">
        <x:v>116</x:v>
      </x:c>
      <x:c r="B117" s="34" t="n">
        <x:v>75</x:v>
      </x:c>
      <x:c r="C117" s="32" t="n">
        <x:v>46158</x:v>
      </x:c>
      <x:c r="D117" t="str">
        <x:v>2026-05</x:v>
      </x:c>
      <x:c r="E117" s="34" t="n">
        <x:v>53</x:v>
      </x:c>
      <x:c r="F117" t="str">
        <x:v>Carla Almeida</x:v>
      </x:c>
      <x:c r="G117" t="str">
        <x:v>SP</x:v>
      </x:c>
      <x:c r="H117" t="str">
        <x:v>Ribeirão Preto</x:v>
      </x:c>
      <x:c r="I117" s="34" t="n">
        <x:v>54</x:v>
      </x:c>
      <x:c r="J117" t="str">
        <x:v>ENTREGUE</x:v>
      </x:c>
      <x:c r="K117" t="str">
        <x:v>Site</x:v>
      </x:c>
      <x:c r="L117" t="str">
        <x:v>Pix</x:v>
      </x:c>
      <x:c r="M117" s="34" t="n">
        <x:v>7</x:v>
      </x:c>
      <x:c r="N117" t="str">
        <x:v>Adaptador USB-C HDMI</x:v>
      </x:c>
      <x:c r="O117" t="str">
        <x:v>Acessórios</x:v>
      </x:c>
      <x:c r="P117" t="str">
        <x:v>Prime Eletrônicos</x:v>
      </x:c>
      <x:c r="Q117" s="34" t="n">
        <x:v>1</x:v>
      </x:c>
      <x:c r="R117" s="36" t="n">
        <x:v>119.9</x:v>
      </x:c>
      <x:c r="S117" s="38" t="n">
        <x:v>0.03</x:v>
      </x:c>
      <x:c r="T117" s="36" t="n">
        <x:v>116.3</x:v>
      </x:c>
      <x:c r="U117" s="36" t="n">
        <x:v>119.9</x:v>
      </x:c>
      <x:c r="V117" s="36" t="n">
        <x:v>3.6</x:v>
      </x:c>
      <x:c r="W117" s="36" t="n">
        <x:v>116.3</x:v>
      </x:c>
      <x:c r="X117" s="36" t="n">
        <x:v>58</x:v>
      </x:c>
      <x:c r="Y117" s="36" t="n">
        <x:v>58.3</x:v>
      </x:c>
      <x:c r="Z117" s="38" t="n">
        <x:v>0.5013</x:v>
      </x:c>
      <x:c r="AA117" s="36" t="n">
        <x:v>27.33</x:v>
      </x:c>
      <x:c r="AB117" s="34" t="n">
        <x:v>2</x:v>
      </x:c>
      <x:c r="AC117" t="str"/>
    </x:row>
    <x:row r="118">
      <x:c r="A118" s="34" t="n">
        <x:v>117</x:v>
      </x:c>
      <x:c r="B118" s="34" t="n">
        <x:v>76</x:v>
      </x:c>
      <x:c r="C118" s="32" t="n">
        <x:v>46137</x:v>
      </x:c>
      <x:c r="D118" t="str">
        <x:v>2026-04</x:v>
      </x:c>
      <x:c r="E118" s="34" t="n">
        <x:v>40</x:v>
      </x:c>
      <x:c r="F118" t="str">
        <x:v>Samuel Araujo</x:v>
      </x:c>
      <x:c r="G118" t="str">
        <x:v>GO</x:v>
      </x:c>
      <x:c r="H118" t="str">
        <x:v>Goiânia</x:v>
      </x:c>
      <x:c r="I118" s="34" t="n">
        <x:v>33</x:v>
      </x:c>
      <x:c r="J118" t="str">
        <x:v>ENVIADO</x:v>
      </x:c>
      <x:c r="K118" t="str">
        <x:v>Instagram</x:v>
      </x:c>
      <x:c r="L118" t="str">
        <x:v>Pix</x:v>
      </x:c>
      <x:c r="M118" s="34" t="n">
        <x:v>5</x:v>
      </x:c>
      <x:c r="N118" t="str">
        <x:v>Mousepad Grande</x:v>
      </x:c>
      <x:c r="O118" t="str">
        <x:v>Acessórios</x:v>
      </x:c>
      <x:c r="P118" t="str">
        <x:v>Prime Eletrônicos</x:v>
      </x:c>
      <x:c r="Q118" s="34" t="n">
        <x:v>2</x:v>
      </x:c>
      <x:c r="R118" s="36" t="n">
        <x:v>39.9</x:v>
      </x:c>
      <x:c r="S118" s="38" t="n">
        <x:v>0.12</x:v>
      </x:c>
      <x:c r="T118" s="36" t="n">
        <x:v>35.11</x:v>
      </x:c>
      <x:c r="U118" s="36" t="n">
        <x:v>79.8</x:v>
      </x:c>
      <x:c r="V118" s="36" t="n">
        <x:v>9.58</x:v>
      </x:c>
      <x:c r="W118" s="36" t="n">
        <x:v>70.22</x:v>
      </x:c>
      <x:c r="X118" s="36" t="n">
        <x:v>34</x:v>
      </x:c>
      <x:c r="Y118" s="36" t="n">
        <x:v>36.22</x:v>
      </x:c>
      <x:c r="Z118" s="38" t="n">
        <x:v>0.5158</x:v>
      </x:c>
      <x:c r="AA118" s="36" t="n">
        <x:v>31.12</x:v>
      </x:c>
      <x:c r="AB118" s="34" t="n">
        <x:v>1</x:v>
      </x:c>
      <x:c r="AC118" t="str"/>
    </x:row>
    <x:row r="119">
      <x:c r="A119" s="34" t="n">
        <x:v>118</x:v>
      </x:c>
      <x:c r="B119" s="34" t="n">
        <x:v>76</x:v>
      </x:c>
      <x:c r="C119" s="32" t="n">
        <x:v>46137</x:v>
      </x:c>
      <x:c r="D119" t="str">
        <x:v>2026-04</x:v>
      </x:c>
      <x:c r="E119" s="34" t="n">
        <x:v>40</x:v>
      </x:c>
      <x:c r="F119" t="str">
        <x:v>Samuel Araujo</x:v>
      </x:c>
      <x:c r="G119" t="str">
        <x:v>GO</x:v>
      </x:c>
      <x:c r="H119" t="str">
        <x:v>Goiânia</x:v>
      </x:c>
      <x:c r="I119" s="34" t="n">
        <x:v>33</x:v>
      </x:c>
      <x:c r="J119" t="str">
        <x:v>ENVIADO</x:v>
      </x:c>
      <x:c r="K119" t="str">
        <x:v>Instagram</x:v>
      </x:c>
      <x:c r="L119" t="str">
        <x:v>Pix</x:v>
      </x:c>
      <x:c r="M119" s="34" t="n">
        <x:v>6</x:v>
      </x:c>
      <x:c r="N119" t="str">
        <x:v>Cabo HDMI 2m</x:v>
      </x:c>
      <x:c r="O119" t="str">
        <x:v>Acessórios</x:v>
      </x:c>
      <x:c r="P119" t="str">
        <x:v>Prime Eletrônicos</x:v>
      </x:c>
      <x:c r="Q119" s="34" t="n">
        <x:v>2</x:v>
      </x:c>
      <x:c r="R119" s="36" t="n">
        <x:v>29.9</x:v>
      </x:c>
      <x:c r="S119" s="38" t="n">
        <x:v>0.05</x:v>
      </x:c>
      <x:c r="T119" s="36" t="n">
        <x:v>28.4</x:v>
      </x:c>
      <x:c r="U119" s="36" t="n">
        <x:v>59.8</x:v>
      </x:c>
      <x:c r="V119" s="36" t="n">
        <x:v>3</x:v>
      </x:c>
      <x:c r="W119" s="36" t="n">
        <x:v>56.8</x:v>
      </x:c>
      <x:c r="X119" s="36" t="n">
        <x:v>20</x:v>
      </x:c>
      <x:c r="Y119" s="36" t="n">
        <x:v>36.8</x:v>
      </x:c>
      <x:c r="Z119" s="38" t="n">
        <x:v>0.6479</x:v>
      </x:c>
      <x:c r="AA119" s="36" t="n">
        <x:v>31.12</x:v>
      </x:c>
      <x:c r="AB119" s="34" t="n">
        <x:v>1</x:v>
      </x:c>
      <x:c r="AC119" t="str"/>
    </x:row>
    <x:row r="120">
      <x:c r="A120" s="34" t="n">
        <x:v>119</x:v>
      </x:c>
      <x:c r="B120" s="34" t="n">
        <x:v>77</x:v>
      </x:c>
      <x:c r="C120" s="32" t="n">
        <x:v>46064</x:v>
      </x:c>
      <x:c r="D120" t="str">
        <x:v>2026-02</x:v>
      </x:c>
      <x:c r="E120" s="34" t="n">
        <x:v>45</x:v>
      </x:c>
      <x:c r="F120" t="str">
        <x:v>Nicolas Costa</x:v>
      </x:c>
      <x:c r="G120" t="str">
        <x:v>PR</x:v>
      </x:c>
      <x:c r="H120" t="str">
        <x:v>Maringá</x:v>
      </x:c>
      <x:c r="I120" s="34" t="n">
        <x:v>45</x:v>
      </x:c>
      <x:c r="J120" t="str">
        <x:v>ENTREGUE</x:v>
      </x:c>
      <x:c r="K120" t="str">
        <x:v>WhatsApp</x:v>
      </x:c>
      <x:c r="L120" t="str">
        <x:v>Cartão crédito</x:v>
      </x:c>
      <x:c r="M120" s="34" t="n">
        <x:v>12</x:v>
      </x:c>
      <x:c r="N120" t="str">
        <x:v>HD Externo 1TB</x:v>
      </x:c>
      <x:c r="O120" t="str">
        <x:v>Armazenamento</x:v>
      </x:c>
      <x:c r="P120" t="str">
        <x:v>InfoMax Atacado</x:v>
      </x:c>
      <x:c r="Q120" s="34" t="n">
        <x:v>1</x:v>
      </x:c>
      <x:c r="R120" s="36" t="n">
        <x:v>369.9</x:v>
      </x:c>
      <x:c r="S120" s="38" t="n">
        <x:v>0.05</x:v>
      </x:c>
      <x:c r="T120" s="36" t="n">
        <x:v>351.4</x:v>
      </x:c>
      <x:c r="U120" s="36" t="n">
        <x:v>369.9</x:v>
      </x:c>
      <x:c r="V120" s="36" t="n">
        <x:v>18.5</x:v>
      </x:c>
      <x:c r="W120" s="36" t="n">
        <x:v>351.4</x:v>
      </x:c>
      <x:c r="X120" s="36" t="n">
        <x:v>246</x:v>
      </x:c>
      <x:c r="Y120" s="36" t="n">
        <x:v>105.4</x:v>
      </x:c>
      <x:c r="Z120" s="38" t="n">
        <x:v>0.2999</x:v>
      </x:c>
      <x:c r="AA120" s="36" t="n">
        <x:v>54.75</x:v>
      </x:c>
      <x:c r="AB120" s="34" t="n">
        <x:v>5</x:v>
      </x:c>
      <x:c r="AC120" t="str"/>
    </x:row>
    <x:row r="121">
      <x:c r="A121" s="34" t="n">
        <x:v>120</x:v>
      </x:c>
      <x:c r="B121" s="34" t="n">
        <x:v>77</x:v>
      </x:c>
      <x:c r="C121" s="32" t="n">
        <x:v>46064</x:v>
      </x:c>
      <x:c r="D121" t="str">
        <x:v>2026-02</x:v>
      </x:c>
      <x:c r="E121" s="34" t="n">
        <x:v>45</x:v>
      </x:c>
      <x:c r="F121" t="str">
        <x:v>Nicolas Costa</x:v>
      </x:c>
      <x:c r="G121" t="str">
        <x:v>PR</x:v>
      </x:c>
      <x:c r="H121" t="str">
        <x:v>Maringá</x:v>
      </x:c>
      <x:c r="I121" s="34" t="n">
        <x:v>45</x:v>
      </x:c>
      <x:c r="J121" t="str">
        <x:v>ENTREGUE</x:v>
      </x:c>
      <x:c r="K121" t="str">
        <x:v>WhatsApp</x:v>
      </x:c>
      <x:c r="L121" t="str">
        <x:v>Cartão crédito</x:v>
      </x:c>
      <x:c r="M121" s="34" t="n">
        <x:v>5</x:v>
      </x:c>
      <x:c r="N121" t="str">
        <x:v>Mousepad Grande</x:v>
      </x:c>
      <x:c r="O121" t="str">
        <x:v>Acessórios</x:v>
      </x:c>
      <x:c r="P121" t="str">
        <x:v>Prime Eletrônicos</x:v>
      </x:c>
      <x:c r="Q121" s="34" t="n">
        <x:v>3</x:v>
      </x:c>
      <x:c r="R121" s="36" t="n">
        <x:v>39.9</x:v>
      </x:c>
      <x:c r="S121" s="38" t="n">
        <x:v>0</x:v>
      </x:c>
      <x:c r="T121" s="36" t="n">
        <x:v>39.9</x:v>
      </x:c>
      <x:c r="U121" s="36" t="n">
        <x:v>119.7</x:v>
      </x:c>
      <x:c r="V121" s="36" t="n">
        <x:v>0</x:v>
      </x:c>
      <x:c r="W121" s="36" t="n">
        <x:v>119.7</x:v>
      </x:c>
      <x:c r="X121" s="36" t="n">
        <x:v>51</x:v>
      </x:c>
      <x:c r="Y121" s="36" t="n">
        <x:v>68.7</x:v>
      </x:c>
      <x:c r="Z121" s="38" t="n">
        <x:v>0.5739</x:v>
      </x:c>
      <x:c r="AA121" s="36" t="n">
        <x:v>54.75</x:v>
      </x:c>
      <x:c r="AB121" s="34" t="n">
        <x:v>5</x:v>
      </x:c>
      <x:c r="AC121" t="str"/>
    </x:row>
    <x:row r="122">
      <x:c r="A122" s="34" t="n">
        <x:v>121</x:v>
      </x:c>
      <x:c r="B122" s="34" t="n">
        <x:v>78</x:v>
      </x:c>
      <x:c r="C122" s="32" t="n">
        <x:v>46154</x:v>
      </x:c>
      <x:c r="D122" t="str">
        <x:v>2026-05</x:v>
      </x:c>
      <x:c r="E122" s="34" t="n">
        <x:v>16</x:v>
      </x:c>
      <x:c r="F122" t="str">
        <x:v>Larissa Martins</x:v>
      </x:c>
      <x:c r="G122" t="str">
        <x:v>SP</x:v>
      </x:c>
      <x:c r="H122" t="str">
        <x:v>São José do Rio Preto</x:v>
      </x:c>
      <x:c r="I122" s="34" t="n">
        <x:v>33</x:v>
      </x:c>
      <x:c r="J122" t="str">
        <x:v>ENTREGUE</x:v>
      </x:c>
      <x:c r="K122" t="str">
        <x:v>Site</x:v>
      </x:c>
      <x:c r="L122" t="str">
        <x:v>Cartão crédito</x:v>
      </x:c>
      <x:c r="M122" s="34" t="n">
        <x:v>28</x:v>
      </x:c>
      <x:c r="N122" t="str">
        <x:v>Repetidor Wi-Fi</x:v>
      </x:c>
      <x:c r="O122" t="str">
        <x:v>Rede</x:v>
      </x:c>
      <x:c r="P122" t="str">
        <x:v>Connect Rede</x:v>
      </x:c>
      <x:c r="Q122" s="34" t="n">
        <x:v>1</x:v>
      </x:c>
      <x:c r="R122" s="36" t="n">
        <x:v>139.9</x:v>
      </x:c>
      <x:c r="S122" s="38" t="n">
        <x:v>0.05</x:v>
      </x:c>
      <x:c r="T122" s="36" t="n">
        <x:v>132.91</x:v>
      </x:c>
      <x:c r="U122" s="36" t="n">
        <x:v>139.9</x:v>
      </x:c>
      <x:c r="V122" s="36" t="n">
        <x:v>6.99</x:v>
      </x:c>
      <x:c r="W122" s="36" t="n">
        <x:v>132.91</x:v>
      </x:c>
      <x:c r="X122" s="36" t="n">
        <x:v>69</x:v>
      </x:c>
      <x:c r="Y122" s="36" t="n">
        <x:v>63.91</x:v>
      </x:c>
      <x:c r="Z122" s="38" t="n">
        <x:v>0.4809</x:v>
      </x:c>
      <x:c r="AA122" s="36" t="n">
        <x:v>36.18</x:v>
      </x:c>
      <x:c r="AB122" s="34" t="n">
        <x:v>4</x:v>
      </x:c>
      <x:c r="AC122" t="str"/>
    </x:row>
    <x:row r="123">
      <x:c r="A123" s="34" t="n">
        <x:v>122</x:v>
      </x:c>
      <x:c r="B123" s="34" t="n">
        <x:v>79</x:v>
      </x:c>
      <x:c r="C123" s="32" t="n">
        <x:v>46178</x:v>
      </x:c>
      <x:c r="D123" t="str">
        <x:v>2026-06</x:v>
      </x:c>
      <x:c r="E123" s="34" t="n">
        <x:v>56</x:v>
      </x:c>
      <x:c r="F123" t="str">
        <x:v>Olívia Lima</x:v>
      </x:c>
      <x:c r="G123" t="str">
        <x:v>SC</x:v>
      </x:c>
      <x:c r="H123" t="str">
        <x:v>Florianópolis</x:v>
      </x:c>
      <x:c r="I123" s="34" t="n">
        <x:v>53</x:v>
      </x:c>
      <x:c r="J123" t="str">
        <x:v>ENTREGUE</x:v>
      </x:c>
      <x:c r="K123" t="str">
        <x:v>Site</x:v>
      </x:c>
      <x:c r="L123" t="str">
        <x:v>Cartão crédito</x:v>
      </x:c>
      <x:c r="M123" s="34" t="n">
        <x:v>18</x:v>
      </x:c>
      <x:c r="N123" t="str">
        <x:v>Cooler para Processador</x:v>
      </x:c>
      <x:c r="O123" t="str">
        <x:v>Componentes</x:v>
      </x:c>
      <x:c r="P123" t="str">
        <x:v>Mega Componentes</x:v>
      </x:c>
      <x:c r="Q123" s="34" t="n">
        <x:v>1</x:v>
      </x:c>
      <x:c r="R123" s="36" t="n">
        <x:v>99.9</x:v>
      </x:c>
      <x:c r="S123" s="38" t="n">
        <x:v>0.05</x:v>
      </x:c>
      <x:c r="T123" s="36" t="n">
        <x:v>94.91</x:v>
      </x:c>
      <x:c r="U123" s="36" t="n">
        <x:v>99.9</x:v>
      </x:c>
      <x:c r="V123" s="36" t="n">
        <x:v>4.99</x:v>
      </x:c>
      <x:c r="W123" s="36" t="n">
        <x:v>94.91</x:v>
      </x:c>
      <x:c r="X123" s="36" t="n">
        <x:v>46</x:v>
      </x:c>
      <x:c r="Y123" s="36" t="n">
        <x:v>48.91</x:v>
      </x:c>
      <x:c r="Z123" s="38" t="n">
        <x:v>0.5153</x:v>
      </x:c>
      <x:c r="AA123" s="36" t="n">
        <x:v>38.86</x:v>
      </x:c>
      <x:c r="AB123" s="34" t="n">
        <x:v>7</x:v>
      </x:c>
      <x:c r="AC123" t="str"/>
    </x:row>
    <x:row r="124">
      <x:c r="A124" s="34" t="n">
        <x:v>123</x:v>
      </x:c>
      <x:c r="B124" s="34" t="n">
        <x:v>79</x:v>
      </x:c>
      <x:c r="C124" s="32" t="n">
        <x:v>46178</x:v>
      </x:c>
      <x:c r="D124" t="str">
        <x:v>2026-06</x:v>
      </x:c>
      <x:c r="E124" s="34" t="n">
        <x:v>56</x:v>
      </x:c>
      <x:c r="F124" t="str">
        <x:v>Olívia Lima</x:v>
      </x:c>
      <x:c r="G124" t="str">
        <x:v>SC</x:v>
      </x:c>
      <x:c r="H124" t="str">
        <x:v>Florianópolis</x:v>
      </x:c>
      <x:c r="I124" s="34" t="n">
        <x:v>53</x:v>
      </x:c>
      <x:c r="J124" t="str">
        <x:v>ENTREGUE</x:v>
      </x:c>
      <x:c r="K124" t="str">
        <x:v>Site</x:v>
      </x:c>
      <x:c r="L124" t="str">
        <x:v>Cartão crédito</x:v>
      </x:c>
      <x:c r="M124" s="34" t="n">
        <x:v>17</x:v>
      </x:c>
      <x:c r="N124" t="str">
        <x:v>Processador Ryzen 5</x:v>
      </x:c>
      <x:c r="O124" t="str">
        <x:v>Componentes</x:v>
      </x:c>
      <x:c r="P124" t="str">
        <x:v>FastHardware</x:v>
      </x:c>
      <x:c r="Q124" s="34" t="n">
        <x:v>2</x:v>
      </x:c>
      <x:c r="R124" s="36" t="n">
        <x:v>799.9</x:v>
      </x:c>
      <x:c r="S124" s="38" t="n">
        <x:v>0.05</x:v>
      </x:c>
      <x:c r="T124" s="36" t="n">
        <x:v>759.9</x:v>
      </x:c>
      <x:c r="U124" s="36" t="n">
        <x:v>1599.8</x:v>
      </x:c>
      <x:c r="V124" s="36" t="n">
        <x:v>80</x:v>
      </x:c>
      <x:c r="W124" s="36" t="n">
        <x:v>1519.8</x:v>
      </x:c>
      <x:c r="X124" s="36" t="n">
        <x:v>1224</x:v>
      </x:c>
      <x:c r="Y124" s="36" t="n">
        <x:v>295.8</x:v>
      </x:c>
      <x:c r="Z124" s="38" t="n">
        <x:v>0.1946</x:v>
      </x:c>
      <x:c r="AA124" s="36" t="n">
        <x:v>38.86</x:v>
      </x:c>
      <x:c r="AB124" s="34" t="n">
        <x:v>7</x:v>
      </x:c>
      <x:c r="AC124" t="str"/>
    </x:row>
    <x:row r="125">
      <x:c r="A125" s="34" t="n">
        <x:v>124</x:v>
      </x:c>
      <x:c r="B125" s="34" t="n">
        <x:v>79</x:v>
      </x:c>
      <x:c r="C125" s="32" t="n">
        <x:v>46178</x:v>
      </x:c>
      <x:c r="D125" t="str">
        <x:v>2026-06</x:v>
      </x:c>
      <x:c r="E125" s="34" t="n">
        <x:v>56</x:v>
      </x:c>
      <x:c r="F125" t="str">
        <x:v>Olívia Lima</x:v>
      </x:c>
      <x:c r="G125" t="str">
        <x:v>SC</x:v>
      </x:c>
      <x:c r="H125" t="str">
        <x:v>Florianópolis</x:v>
      </x:c>
      <x:c r="I125" s="34" t="n">
        <x:v>53</x:v>
      </x:c>
      <x:c r="J125" t="str">
        <x:v>ENTREGUE</x:v>
      </x:c>
      <x:c r="K125" t="str">
        <x:v>Site</x:v>
      </x:c>
      <x:c r="L125" t="str">
        <x:v>Cartão crédito</x:v>
      </x:c>
      <x:c r="M125" s="34" t="n">
        <x:v>9</x:v>
      </x:c>
      <x:c r="N125" t="str">
        <x:v>SSD 240GB SATA</x:v>
      </x:c>
      <x:c r="O125" t="str">
        <x:v>Armazenamento</x:v>
      </x:c>
      <x:c r="P125" t="str">
        <x:v>Mega Componentes</x:v>
      </x:c>
      <x:c r="Q125" s="34" t="n">
        <x:v>2</x:v>
      </x:c>
      <x:c r="R125" s="36" t="n">
        <x:v>169.9</x:v>
      </x:c>
      <x:c r="S125" s="38" t="n">
        <x:v>0</x:v>
      </x:c>
      <x:c r="T125" s="36" t="n">
        <x:v>169.9</x:v>
      </x:c>
      <x:c r="U125" s="36" t="n">
        <x:v>339.8</x:v>
      </x:c>
      <x:c r="V125" s="36" t="n">
        <x:v>0</x:v>
      </x:c>
      <x:c r="W125" s="36" t="n">
        <x:v>339.8</x:v>
      </x:c>
      <x:c r="X125" s="36" t="n">
        <x:v>196</x:v>
      </x:c>
      <x:c r="Y125" s="36" t="n">
        <x:v>143.8</x:v>
      </x:c>
      <x:c r="Z125" s="38" t="n">
        <x:v>0.4232</x:v>
      </x:c>
      <x:c r="AA125" s="36" t="n">
        <x:v>38.86</x:v>
      </x:c>
      <x:c r="AB125" s="34" t="n">
        <x:v>7</x:v>
      </x:c>
      <x:c r="AC125" t="str"/>
    </x:row>
    <x:row r="126">
      <x:c r="A126" s="34" t="n">
        <x:v>125</x:v>
      </x:c>
      <x:c r="B126" s="34" t="n">
        <x:v>80</x:v>
      </x:c>
      <x:c r="C126" s="32" t="n">
        <x:v>46152</x:v>
      </x:c>
      <x:c r="D126" t="str">
        <x:v>2026-05</x:v>
      </x:c>
      <x:c r="E126" s="34" t="n">
        <x:v>16</x:v>
      </x:c>
      <x:c r="F126" t="str">
        <x:v>Larissa Martins</x:v>
      </x:c>
      <x:c r="G126" t="str">
        <x:v>SP</x:v>
      </x:c>
      <x:c r="H126" t="str">
        <x:v>São José do Rio Preto</x:v>
      </x:c>
      <x:c r="I126" s="34" t="n">
        <x:v>33</x:v>
      </x:c>
      <x:c r="J126" t="str">
        <x:v>ENTREGUE</x:v>
      </x:c>
      <x:c r="K126" t="str">
        <x:v>Marketplace</x:v>
      </x:c>
      <x:c r="L126" t="str">
        <x:v>Cartão crédito</x:v>
      </x:c>
      <x:c r="M126" s="34" t="n">
        <x:v>5</x:v>
      </x:c>
      <x:c r="N126" t="str">
        <x:v>Mousepad Grande</x:v>
      </x:c>
      <x:c r="O126" t="str">
        <x:v>Acessórios</x:v>
      </x:c>
      <x:c r="P126" t="str">
        <x:v>Prime Eletrônicos</x:v>
      </x:c>
      <x:c r="Q126" s="34" t="n">
        <x:v>2</x:v>
      </x:c>
      <x:c r="R126" s="36" t="n">
        <x:v>39.9</x:v>
      </x:c>
      <x:c r="S126" s="38" t="n">
        <x:v>0</x:v>
      </x:c>
      <x:c r="T126" s="36" t="n">
        <x:v>39.9</x:v>
      </x:c>
      <x:c r="U126" s="36" t="n">
        <x:v>79.8</x:v>
      </x:c>
      <x:c r="V126" s="36" t="n">
        <x:v>0</x:v>
      </x:c>
      <x:c r="W126" s="36" t="n">
        <x:v>79.8</x:v>
      </x:c>
      <x:c r="X126" s="36" t="n">
        <x:v>34</x:v>
      </x:c>
      <x:c r="Y126" s="36" t="n">
        <x:v>45.8</x:v>
      </x:c>
      <x:c r="Z126" s="38" t="n">
        <x:v>0.5739</x:v>
      </x:c>
      <x:c r="AA126" s="36" t="n">
        <x:v>28.12</x:v>
      </x:c>
      <x:c r="AB126" s="34" t="n">
        <x:v>5</x:v>
      </x:c>
      <x:c r="AC126" t="str"/>
    </x:row>
    <x:row r="127">
      <x:c r="A127" s="34" t="n">
        <x:v>126</x:v>
      </x:c>
      <x:c r="B127" s="34" t="n">
        <x:v>81</x:v>
      </x:c>
      <x:c r="C127" s="32" t="n">
        <x:v>46090</x:v>
      </x:c>
      <x:c r="D127" t="str">
        <x:v>2026-03</x:v>
      </x:c>
      <x:c r="E127" s="34" t="n">
        <x:v>60</x:v>
      </x:c>
      <x:c r="F127" t="str">
        <x:v>Mariana Araujo</x:v>
      </x:c>
      <x:c r="G127" t="str">
        <x:v>PR</x:v>
      </x:c>
      <x:c r="H127" t="str">
        <x:v>Curitiba</x:v>
      </x:c>
      <x:c r="I127" s="34" t="n">
        <x:v>19</x:v>
      </x:c>
      <x:c r="J127" t="str">
        <x:v>ENTREGUE</x:v>
      </x:c>
      <x:c r="K127" t="str">
        <x:v>Marketplace</x:v>
      </x:c>
      <x:c r="L127" t="str">
        <x:v>Pix</x:v>
      </x:c>
      <x:c r="M127" s="34" t="n">
        <x:v>5</x:v>
      </x:c>
      <x:c r="N127" t="str">
        <x:v>Mousepad Grande</x:v>
      </x:c>
      <x:c r="O127" t="str">
        <x:v>Acessórios</x:v>
      </x:c>
      <x:c r="P127" t="str">
        <x:v>Prime Eletrônicos</x:v>
      </x:c>
      <x:c r="Q127" s="34" t="n">
        <x:v>3</x:v>
      </x:c>
      <x:c r="R127" s="36" t="n">
        <x:v>39.9</x:v>
      </x:c>
      <x:c r="S127" s="38" t="n">
        <x:v>0</x:v>
      </x:c>
      <x:c r="T127" s="36" t="n">
        <x:v>39.9</x:v>
      </x:c>
      <x:c r="U127" s="36" t="n">
        <x:v>119.7</x:v>
      </x:c>
      <x:c r="V127" s="36" t="n">
        <x:v>0</x:v>
      </x:c>
      <x:c r="W127" s="36" t="n">
        <x:v>119.7</x:v>
      </x:c>
      <x:c r="X127" s="36" t="n">
        <x:v>51</x:v>
      </x:c>
      <x:c r="Y127" s="36" t="n">
        <x:v>68.7</x:v>
      </x:c>
      <x:c r="Z127" s="38" t="n">
        <x:v>0.5739</x:v>
      </x:c>
      <x:c r="AA127" s="36" t="n">
        <x:v>12</x:v>
      </x:c>
      <x:c r="AB127" s="34" t="n">
        <x:v>5</x:v>
      </x:c>
      <x:c r="AC127" t="str"/>
    </x:row>
    <x:row r="128">
      <x:c r="A128" s="34" t="n">
        <x:v>127</x:v>
      </x:c>
      <x:c r="B128" s="34" t="n">
        <x:v>81</x:v>
      </x:c>
      <x:c r="C128" s="32" t="n">
        <x:v>46090</x:v>
      </x:c>
      <x:c r="D128" t="str">
        <x:v>2026-03</x:v>
      </x:c>
      <x:c r="E128" s="34" t="n">
        <x:v>60</x:v>
      </x:c>
      <x:c r="F128" t="str">
        <x:v>Mariana Araujo</x:v>
      </x:c>
      <x:c r="G128" t="str">
        <x:v>PR</x:v>
      </x:c>
      <x:c r="H128" t="str">
        <x:v>Curitiba</x:v>
      </x:c>
      <x:c r="I128" s="34" t="n">
        <x:v>19</x:v>
      </x:c>
      <x:c r="J128" t="str">
        <x:v>ENTREGUE</x:v>
      </x:c>
      <x:c r="K128" t="str">
        <x:v>Marketplace</x:v>
      </x:c>
      <x:c r="L128" t="str">
        <x:v>Pix</x:v>
      </x:c>
      <x:c r="M128" s="34" t="n">
        <x:v>2</x:v>
      </x:c>
      <x:c r="N128" t="str">
        <x:v>Teclado Membrana ABNT2</x:v>
      </x:c>
      <x:c r="O128" t="str">
        <x:v>Periféricos</x:v>
      </x:c>
      <x:c r="P128" t="str">
        <x:v>TechDistribuidora Brasil</x:v>
      </x:c>
      <x:c r="Q128" s="34" t="n">
        <x:v>1</x:v>
      </x:c>
      <x:c r="R128" s="36" t="n">
        <x:v>89.9</x:v>
      </x:c>
      <x:c r="S128" s="38" t="n">
        <x:v>0</x:v>
      </x:c>
      <x:c r="T128" s="36" t="n">
        <x:v>89.9</x:v>
      </x:c>
      <x:c r="U128" s="36" t="n">
        <x:v>89.9</x:v>
      </x:c>
      <x:c r="V128" s="36" t="n">
        <x:v>0</x:v>
      </x:c>
      <x:c r="W128" s="36" t="n">
        <x:v>89.9</x:v>
      </x:c>
      <x:c r="X128" s="36" t="n">
        <x:v>48</x:v>
      </x:c>
      <x:c r="Y128" s="36" t="n">
        <x:v>41.9</x:v>
      </x:c>
      <x:c r="Z128" s="38" t="n">
        <x:v>0.4661</x:v>
      </x:c>
      <x:c r="AA128" s="36" t="n">
        <x:v>12</x:v>
      </x:c>
      <x:c r="AB128" s="34" t="n">
        <x:v>5</x:v>
      </x:c>
      <x:c r="AC128" t="str"/>
    </x:row>
    <x:row r="129">
      <x:c r="A129" s="34" t="n">
        <x:v>128</x:v>
      </x:c>
      <x:c r="B129" s="34" t="n">
        <x:v>81</x:v>
      </x:c>
      <x:c r="C129" s="32" t="n">
        <x:v>46090</x:v>
      </x:c>
      <x:c r="D129" t="str">
        <x:v>2026-03</x:v>
      </x:c>
      <x:c r="E129" s="34" t="n">
        <x:v>60</x:v>
      </x:c>
      <x:c r="F129" t="str">
        <x:v>Mariana Araujo</x:v>
      </x:c>
      <x:c r="G129" t="str">
        <x:v>PR</x:v>
      </x:c>
      <x:c r="H129" t="str">
        <x:v>Curitiba</x:v>
      </x:c>
      <x:c r="I129" s="34" t="n">
        <x:v>19</x:v>
      </x:c>
      <x:c r="J129" t="str">
        <x:v>ENTREGUE</x:v>
      </x:c>
      <x:c r="K129" t="str">
        <x:v>Marketplace</x:v>
      </x:c>
      <x:c r="L129" t="str">
        <x:v>Pix</x:v>
      </x:c>
      <x:c r="M129" s="34" t="n">
        <x:v>15</x:v>
      </x:c>
      <x:c r="N129" t="str">
        <x:v>Fonte 500W 80 Plus</x:v>
      </x:c>
      <x:c r="O129" t="str">
        <x:v>Componentes</x:v>
      </x:c>
      <x:c r="P129" t="str">
        <x:v>FastHardware</x:v>
      </x:c>
      <x:c r="Q129" s="34" t="n">
        <x:v>1</x:v>
      </x:c>
      <x:c r="R129" s="36" t="n">
        <x:v>289.9</x:v>
      </x:c>
      <x:c r="S129" s="38" t="n">
        <x:v>0</x:v>
      </x:c>
      <x:c r="T129" s="36" t="n">
        <x:v>289.9</x:v>
      </x:c>
      <x:c r="U129" s="36" t="n">
        <x:v>289.9</x:v>
      </x:c>
      <x:c r="V129" s="36" t="n">
        <x:v>0</x:v>
      </x:c>
      <x:c r="W129" s="36" t="n">
        <x:v>289.9</x:v>
      </x:c>
      <x:c r="X129" s="36" t="n">
        <x:v>182</x:v>
      </x:c>
      <x:c r="Y129" s="36" t="n">
        <x:v>107.9</x:v>
      </x:c>
      <x:c r="Z129" s="38" t="n">
        <x:v>0.3722</x:v>
      </x:c>
      <x:c r="AA129" s="36" t="n">
        <x:v>12</x:v>
      </x:c>
      <x:c r="AB129" s="34" t="n">
        <x:v>5</x:v>
      </x:c>
      <x:c r="AC129" t="str"/>
    </x:row>
    <x:row r="130">
      <x:c r="A130" s="34" t="n">
        <x:v>129</x:v>
      </x:c>
      <x:c r="B130" s="34" t="n">
        <x:v>82</x:v>
      </x:c>
      <x:c r="C130" s="32" t="n">
        <x:v>46144</x:v>
      </x:c>
      <x:c r="D130" t="str">
        <x:v>2026-05</x:v>
      </x:c>
      <x:c r="E130" s="34" t="n">
        <x:v>60</x:v>
      </x:c>
      <x:c r="F130" t="str">
        <x:v>Mariana Araujo</x:v>
      </x:c>
      <x:c r="G130" t="str">
        <x:v>PR</x:v>
      </x:c>
      <x:c r="H130" t="str">
        <x:v>Curitiba</x:v>
      </x:c>
      <x:c r="I130" s="34" t="n">
        <x:v>19</x:v>
      </x:c>
      <x:c r="J130" t="str">
        <x:v>ENTREGUE</x:v>
      </x:c>
      <x:c r="K130" t="str">
        <x:v>Site</x:v>
      </x:c>
      <x:c r="L130" t="str">
        <x:v>Pix</x:v>
      </x:c>
      <x:c r="M130" s="34" t="n">
        <x:v>5</x:v>
      </x:c>
      <x:c r="N130" t="str">
        <x:v>Mousepad Grande</x:v>
      </x:c>
      <x:c r="O130" t="str">
        <x:v>Acessórios</x:v>
      </x:c>
      <x:c r="P130" t="str">
        <x:v>Prime Eletrônicos</x:v>
      </x:c>
      <x:c r="Q130" s="34" t="n">
        <x:v>1</x:v>
      </x:c>
      <x:c r="R130" s="36" t="n">
        <x:v>39.9</x:v>
      </x:c>
      <x:c r="S130" s="38" t="n">
        <x:v>0</x:v>
      </x:c>
      <x:c r="T130" s="36" t="n">
        <x:v>39.9</x:v>
      </x:c>
      <x:c r="U130" s="36" t="n">
        <x:v>39.9</x:v>
      </x:c>
      <x:c r="V130" s="36" t="n">
        <x:v>0</x:v>
      </x:c>
      <x:c r="W130" s="36" t="n">
        <x:v>39.9</x:v>
      </x:c>
      <x:c r="X130" s="36" t="n">
        <x:v>17</x:v>
      </x:c>
      <x:c r="Y130" s="36" t="n">
        <x:v>22.9</x:v>
      </x:c>
      <x:c r="Z130" s="38" t="n">
        <x:v>0.5739</x:v>
      </x:c>
      <x:c r="AA130" s="36" t="n">
        <x:v>21.86</x:v>
      </x:c>
      <x:c r="AB130" s="34" t="n">
        <x:v>6</x:v>
      </x:c>
      <x:c r="AC130" t="str"/>
    </x:row>
    <x:row r="131">
      <x:c r="A131" s="34" t="n">
        <x:v>130</x:v>
      </x:c>
      <x:c r="B131" s="34" t="n">
        <x:v>82</x:v>
      </x:c>
      <x:c r="C131" s="32" t="n">
        <x:v>46144</x:v>
      </x:c>
      <x:c r="D131" t="str">
        <x:v>2026-05</x:v>
      </x:c>
      <x:c r="E131" s="34" t="n">
        <x:v>60</x:v>
      </x:c>
      <x:c r="F131" t="str">
        <x:v>Mariana Araujo</x:v>
      </x:c>
      <x:c r="G131" t="str">
        <x:v>PR</x:v>
      </x:c>
      <x:c r="H131" t="str">
        <x:v>Curitiba</x:v>
      </x:c>
      <x:c r="I131" s="34" t="n">
        <x:v>19</x:v>
      </x:c>
      <x:c r="J131" t="str">
        <x:v>ENTREGUE</x:v>
      </x:c>
      <x:c r="K131" t="str">
        <x:v>Site</x:v>
      </x:c>
      <x:c r="L131" t="str">
        <x:v>Pix</x:v>
      </x:c>
      <x:c r="M131" s="34" t="n">
        <x:v>2</x:v>
      </x:c>
      <x:c r="N131" t="str">
        <x:v>Teclado Membrana ABNT2</x:v>
      </x:c>
      <x:c r="O131" t="str">
        <x:v>Periféricos</x:v>
      </x:c>
      <x:c r="P131" t="str">
        <x:v>TechDistribuidora Brasil</x:v>
      </x:c>
      <x:c r="Q131" s="34" t="n">
        <x:v>1</x:v>
      </x:c>
      <x:c r="R131" s="36" t="n">
        <x:v>89.9</x:v>
      </x:c>
      <x:c r="S131" s="38" t="n">
        <x:v>0.05</x:v>
      </x:c>
      <x:c r="T131" s="36" t="n">
        <x:v>85.41</x:v>
      </x:c>
      <x:c r="U131" s="36" t="n">
        <x:v>89.9</x:v>
      </x:c>
      <x:c r="V131" s="36" t="n">
        <x:v>4.49</x:v>
      </x:c>
      <x:c r="W131" s="36" t="n">
        <x:v>85.41</x:v>
      </x:c>
      <x:c r="X131" s="36" t="n">
        <x:v>48</x:v>
      </x:c>
      <x:c r="Y131" s="36" t="n">
        <x:v>37.41</x:v>
      </x:c>
      <x:c r="Z131" s="38" t="n">
        <x:v>0.438</x:v>
      </x:c>
      <x:c r="AA131" s="36" t="n">
        <x:v>21.86</x:v>
      </x:c>
      <x:c r="AB131" s="34" t="n">
        <x:v>6</x:v>
      </x:c>
      <x:c r="AC131" t="str"/>
    </x:row>
    <x:row r="132">
      <x:c r="A132" s="34" t="n">
        <x:v>131</x:v>
      </x:c>
      <x:c r="B132" s="34" t="n">
        <x:v>83</x:v>
      </x:c>
      <x:c r="C132" s="32" t="n">
        <x:v>46169</x:v>
      </x:c>
      <x:c r="D132" t="str">
        <x:v>2026-05</x:v>
      </x:c>
      <x:c r="E132" s="34" t="n">
        <x:v>36</x:v>
      </x:c>
      <x:c r="F132" t="str">
        <x:v>Yasmin Carvalho</x:v>
      </x:c>
      <x:c r="G132" t="str">
        <x:v>SP</x:v>
      </x:c>
      <x:c r="H132" t="str">
        <x:v>Votuporanga</x:v>
      </x:c>
      <x:c r="I132" s="34" t="n">
        <x:v>34</x:v>
      </x:c>
      <x:c r="J132" t="str">
        <x:v>ENVIADO</x:v>
      </x:c>
      <x:c r="K132" t="str">
        <x:v>Site</x:v>
      </x:c>
      <x:c r="L132" t="str">
        <x:v>Pix</x:v>
      </x:c>
      <x:c r="M132" s="34" t="n">
        <x:v>3</x:v>
      </x:c>
      <x:c r="N132" t="str">
        <x:v>Headset Gamer P2</x:v>
      </x:c>
      <x:c r="O132" t="str">
        <x:v>Periféricos</x:v>
      </x:c>
      <x:c r="P132" t="str">
        <x:v>FastHardware</x:v>
      </x:c>
      <x:c r="Q132" s="34" t="n">
        <x:v>2</x:v>
      </x:c>
      <x:c r="R132" s="36" t="n">
        <x:v>159.9</x:v>
      </x:c>
      <x:c r="S132" s="38" t="n">
        <x:v>0.08</x:v>
      </x:c>
      <x:c r="T132" s="36" t="n">
        <x:v>147.11</x:v>
      </x:c>
      <x:c r="U132" s="36" t="n">
        <x:v>319.8</x:v>
      </x:c>
      <x:c r="V132" s="36" t="n">
        <x:v>25.58</x:v>
      </x:c>
      <x:c r="W132" s="36" t="n">
        <x:v>294.22</x:v>
      </x:c>
      <x:c r="X132" s="36" t="n">
        <x:v>168</x:v>
      </x:c>
      <x:c r="Y132" s="36" t="n">
        <x:v>126.22</x:v>
      </x:c>
      <x:c r="Z132" s="38" t="n">
        <x:v>0.429</x:v>
      </x:c>
      <x:c r="AA132" s="36" t="n">
        <x:v>26.78</x:v>
      </x:c>
      <x:c r="AB132" s="34" t="n">
        <x:v>3</x:v>
      </x:c>
      <x:c r="AC132" t="str"/>
    </x:row>
    <x:row r="133">
      <x:c r="A133" s="34" t="n">
        <x:v>132</x:v>
      </x:c>
      <x:c r="B133" s="34" t="n">
        <x:v>83</x:v>
      </x:c>
      <x:c r="C133" s="32" t="n">
        <x:v>46169</x:v>
      </x:c>
      <x:c r="D133" t="str">
        <x:v>2026-05</x:v>
      </x:c>
      <x:c r="E133" s="34" t="n">
        <x:v>36</x:v>
      </x:c>
      <x:c r="F133" t="str">
        <x:v>Yasmin Carvalho</x:v>
      </x:c>
      <x:c r="G133" t="str">
        <x:v>SP</x:v>
      </x:c>
      <x:c r="H133" t="str">
        <x:v>Votuporanga</x:v>
      </x:c>
      <x:c r="I133" s="34" t="n">
        <x:v>34</x:v>
      </x:c>
      <x:c r="J133" t="str">
        <x:v>ENVIADO</x:v>
      </x:c>
      <x:c r="K133" t="str">
        <x:v>Site</x:v>
      </x:c>
      <x:c r="L133" t="str">
        <x:v>Pix</x:v>
      </x:c>
      <x:c r="M133" s="34" t="n">
        <x:v>14</x:v>
      </x:c>
      <x:c r="N133" t="str">
        <x:v>Memória RAM 16GB DDR4</x:v>
      </x:c>
      <x:c r="O133" t="str">
        <x:v>Componentes</x:v>
      </x:c>
      <x:c r="P133" t="str">
        <x:v>Mega Componentes</x:v>
      </x:c>
      <x:c r="Q133" s="34" t="n">
        <x:v>1</x:v>
      </x:c>
      <x:c r="R133" s="36" t="n">
        <x:v>319.9</x:v>
      </x:c>
      <x:c r="S133" s="38" t="n">
        <x:v>0.1</x:v>
      </x:c>
      <x:c r="T133" s="36" t="n">
        <x:v>287.91</x:v>
      </x:c>
      <x:c r="U133" s="36" t="n">
        <x:v>319.9</x:v>
      </x:c>
      <x:c r="V133" s="36" t="n">
        <x:v>31.99</x:v>
      </x:c>
      <x:c r="W133" s="36" t="n">
        <x:v>287.91</x:v>
      </x:c>
      <x:c r="X133" s="36" t="n">
        <x:v>198</x:v>
      </x:c>
      <x:c r="Y133" s="36" t="n">
        <x:v>89.91</x:v>
      </x:c>
      <x:c r="Z133" s="38" t="n">
        <x:v>0.3123</x:v>
      </x:c>
      <x:c r="AA133" s="36" t="n">
        <x:v>26.78</x:v>
      </x:c>
      <x:c r="AB133" s="34" t="n">
        <x:v>3</x:v>
      </x:c>
      <x:c r="AC133" t="str"/>
    </x:row>
    <x:row r="134">
      <x:c r="A134" s="34" t="n">
        <x:v>133</x:v>
      </x:c>
      <x:c r="B134" s="34" t="n">
        <x:v>83</x:v>
      </x:c>
      <x:c r="C134" s="32" t="n">
        <x:v>46169</x:v>
      </x:c>
      <x:c r="D134" t="str">
        <x:v>2026-05</x:v>
      </x:c>
      <x:c r="E134" s="34" t="n">
        <x:v>36</x:v>
      </x:c>
      <x:c r="F134" t="str">
        <x:v>Yasmin Carvalho</x:v>
      </x:c>
      <x:c r="G134" t="str">
        <x:v>SP</x:v>
      </x:c>
      <x:c r="H134" t="str">
        <x:v>Votuporanga</x:v>
      </x:c>
      <x:c r="I134" s="34" t="n">
        <x:v>34</x:v>
      </x:c>
      <x:c r="J134" t="str">
        <x:v>ENVIADO</x:v>
      </x:c>
      <x:c r="K134" t="str">
        <x:v>Site</x:v>
      </x:c>
      <x:c r="L134" t="str">
        <x:v>Pix</x:v>
      </x:c>
      <x:c r="M134" s="34" t="n">
        <x:v>27</x:v>
      </x:c>
      <x:c r="N134" t="str">
        <x:v>Placa de Rede PCIe</x:v>
      </x:c>
      <x:c r="O134" t="str">
        <x:v>Rede</x:v>
      </x:c>
      <x:c r="P134" t="str">
        <x:v>Connect Rede</x:v>
      </x:c>
      <x:c r="Q134" s="34" t="n">
        <x:v>1</x:v>
      </x:c>
      <x:c r="R134" s="36" t="n">
        <x:v>79.9</x:v>
      </x:c>
      <x:c r="S134" s="38" t="n">
        <x:v>0.08</x:v>
      </x:c>
      <x:c r="T134" s="36" t="n">
        <x:v>73.51</x:v>
      </x:c>
      <x:c r="U134" s="36" t="n">
        <x:v>79.9</x:v>
      </x:c>
      <x:c r="V134" s="36" t="n">
        <x:v>6.39</x:v>
      </x:c>
      <x:c r="W134" s="36" t="n">
        <x:v>73.51</x:v>
      </x:c>
      <x:c r="X134" s="36" t="n">
        <x:v>37</x:v>
      </x:c>
      <x:c r="Y134" s="36" t="n">
        <x:v>36.51</x:v>
      </x:c>
      <x:c r="Z134" s="38" t="n">
        <x:v>0.4967</x:v>
      </x:c>
      <x:c r="AA134" s="36" t="n">
        <x:v>26.78</x:v>
      </x:c>
      <x:c r="AB134" s="34" t="n">
        <x:v>3</x:v>
      </x:c>
      <x:c r="AC134" t="str"/>
    </x:row>
    <x:row r="135">
      <x:c r="A135" s="34" t="n">
        <x:v>134</x:v>
      </x:c>
      <x:c r="B135" s="34" t="n">
        <x:v>83</x:v>
      </x:c>
      <x:c r="C135" s="32" t="n">
        <x:v>46169</x:v>
      </x:c>
      <x:c r="D135" t="str">
        <x:v>2026-05</x:v>
      </x:c>
      <x:c r="E135" s="34" t="n">
        <x:v>36</x:v>
      </x:c>
      <x:c r="F135" t="str">
        <x:v>Yasmin Carvalho</x:v>
      </x:c>
      <x:c r="G135" t="str">
        <x:v>SP</x:v>
      </x:c>
      <x:c r="H135" t="str">
        <x:v>Votuporanga</x:v>
      </x:c>
      <x:c r="I135" s="34" t="n">
        <x:v>34</x:v>
      </x:c>
      <x:c r="J135" t="str">
        <x:v>ENVIADO</x:v>
      </x:c>
      <x:c r="K135" t="str">
        <x:v>Site</x:v>
      </x:c>
      <x:c r="L135" t="str">
        <x:v>Pix</x:v>
      </x:c>
      <x:c r="M135" s="34" t="n">
        <x:v>8</x:v>
      </x:c>
      <x:c r="N135" t="str">
        <x:v>Suporte Articulado para Monitor</x:v>
      </x:c>
      <x:c r="O135" t="str">
        <x:v>Acessórios</x:v>
      </x:c>
      <x:c r="P135" t="str">
        <x:v>OfficeTech Supply</x:v>
      </x:c>
      <x:c r="Q135" s="34" t="n">
        <x:v>4</x:v>
      </x:c>
      <x:c r="R135" s="36" t="n">
        <x:v>149.9</x:v>
      </x:c>
      <x:c r="S135" s="38" t="n">
        <x:v>0</x:v>
      </x:c>
      <x:c r="T135" s="36" t="n">
        <x:v>149.9</x:v>
      </x:c>
      <x:c r="U135" s="36" t="n">
        <x:v>599.6</x:v>
      </x:c>
      <x:c r="V135" s="36" t="n">
        <x:v>0</x:v>
      </x:c>
      <x:c r="W135" s="36" t="n">
        <x:v>599.6</x:v>
      </x:c>
      <x:c r="X135" s="36" t="n">
        <x:v>292</x:v>
      </x:c>
      <x:c r="Y135" s="36" t="n">
        <x:v>307.6</x:v>
      </x:c>
      <x:c r="Z135" s="38" t="n">
        <x:v>0.513</x:v>
      </x:c>
      <x:c r="AA135" s="36" t="n">
        <x:v>26.78</x:v>
      </x:c>
      <x:c r="AB135" s="34" t="n">
        <x:v>3</x:v>
      </x:c>
      <x:c r="AC135" t="str"/>
    </x:row>
    <x:row r="136">
      <x:c r="A136" s="34" t="n">
        <x:v>135</x:v>
      </x:c>
      <x:c r="B136" s="34" t="n">
        <x:v>84</x:v>
      </x:c>
      <x:c r="C136" s="32" t="n">
        <x:v>46178</x:v>
      </x:c>
      <x:c r="D136" t="str">
        <x:v>2026-06</x:v>
      </x:c>
      <x:c r="E136" s="34" t="n">
        <x:v>51</x:v>
      </x:c>
      <x:c r="F136" t="str">
        <x:v>Sofia Martins</x:v>
      </x:c>
      <x:c r="G136" t="str">
        <x:v>PR</x:v>
      </x:c>
      <x:c r="H136" t="str">
        <x:v>Curitiba</x:v>
      </x:c>
      <x:c r="I136" s="34" t="n">
        <x:v>23</x:v>
      </x:c>
      <x:c r="J136" t="str">
        <x:v>ENTREGUE</x:v>
      </x:c>
      <x:c r="K136" t="str">
        <x:v>Site</x:v>
      </x:c>
      <x:c r="L136" t="str">
        <x:v>Boleto</x:v>
      </x:c>
      <x:c r="M136" s="34" t="n">
        <x:v>28</x:v>
      </x:c>
      <x:c r="N136" t="str">
        <x:v>Repetidor Wi-Fi</x:v>
      </x:c>
      <x:c r="O136" t="str">
        <x:v>Rede</x:v>
      </x:c>
      <x:c r="P136" t="str">
        <x:v>Connect Rede</x:v>
      </x:c>
      <x:c r="Q136" s="34" t="n">
        <x:v>1</x:v>
      </x:c>
      <x:c r="R136" s="36" t="n">
        <x:v>139.9</x:v>
      </x:c>
      <x:c r="S136" s="38" t="n">
        <x:v>0.12</x:v>
      </x:c>
      <x:c r="T136" s="36" t="n">
        <x:v>123.11</x:v>
      </x:c>
      <x:c r="U136" s="36" t="n">
        <x:v>139.9</x:v>
      </x:c>
      <x:c r="V136" s="36" t="n">
        <x:v>16.79</x:v>
      </x:c>
      <x:c r="W136" s="36" t="n">
        <x:v>123.11</x:v>
      </x:c>
      <x:c r="X136" s="36" t="n">
        <x:v>69</x:v>
      </x:c>
      <x:c r="Y136" s="36" t="n">
        <x:v>54.11</x:v>
      </x:c>
      <x:c r="Z136" s="38" t="n">
        <x:v>0.4395</x:v>
      </x:c>
      <x:c r="AA136" s="36" t="n">
        <x:v>13.23</x:v>
      </x:c>
      <x:c r="AB136" s="34" t="n">
        <x:v>4</x:v>
      </x:c>
      <x:c r="AC136" t="str"/>
    </x:row>
    <x:row r="137">
      <x:c r="A137" s="34" t="n">
        <x:v>136</x:v>
      </x:c>
      <x:c r="B137" s="34" t="n">
        <x:v>84</x:v>
      </x:c>
      <x:c r="C137" s="32" t="n">
        <x:v>46178</x:v>
      </x:c>
      <x:c r="D137" t="str">
        <x:v>2026-06</x:v>
      </x:c>
      <x:c r="E137" s="34" t="n">
        <x:v>51</x:v>
      </x:c>
      <x:c r="F137" t="str">
        <x:v>Sofia Martins</x:v>
      </x:c>
      <x:c r="G137" t="str">
        <x:v>PR</x:v>
      </x:c>
      <x:c r="H137" t="str">
        <x:v>Curitiba</x:v>
      </x:c>
      <x:c r="I137" s="34" t="n">
        <x:v>23</x:v>
      </x:c>
      <x:c r="J137" t="str">
        <x:v>ENTREGUE</x:v>
      </x:c>
      <x:c r="K137" t="str">
        <x:v>Site</x:v>
      </x:c>
      <x:c r="L137" t="str">
        <x:v>Boleto</x:v>
      </x:c>
      <x:c r="M137" s="34" t="n">
        <x:v>27</x:v>
      </x:c>
      <x:c r="N137" t="str">
        <x:v>Placa de Rede PCIe</x:v>
      </x:c>
      <x:c r="O137" t="str">
        <x:v>Rede</x:v>
      </x:c>
      <x:c r="P137" t="str">
        <x:v>Connect Rede</x:v>
      </x:c>
      <x:c r="Q137" s="34" t="n">
        <x:v>1</x:v>
      </x:c>
      <x:c r="R137" s="36" t="n">
        <x:v>79.9</x:v>
      </x:c>
      <x:c r="S137" s="38" t="n">
        <x:v>0</x:v>
      </x:c>
      <x:c r="T137" s="36" t="n">
        <x:v>79.9</x:v>
      </x:c>
      <x:c r="U137" s="36" t="n">
        <x:v>79.9</x:v>
      </x:c>
      <x:c r="V137" s="36" t="n">
        <x:v>0</x:v>
      </x:c>
      <x:c r="W137" s="36" t="n">
        <x:v>79.9</x:v>
      </x:c>
      <x:c r="X137" s="36" t="n">
        <x:v>37</x:v>
      </x:c>
      <x:c r="Y137" s="36" t="n">
        <x:v>42.9</x:v>
      </x:c>
      <x:c r="Z137" s="38" t="n">
        <x:v>0.5369</x:v>
      </x:c>
      <x:c r="AA137" s="36" t="n">
        <x:v>13.23</x:v>
      </x:c>
      <x:c r="AB137" s="34" t="n">
        <x:v>4</x:v>
      </x:c>
      <x:c r="AC137" t="str"/>
    </x:row>
    <x:row r="138">
      <x:c r="A138" s="34" t="n">
        <x:v>137</x:v>
      </x:c>
      <x:c r="B138" s="34" t="n">
        <x:v>85</x:v>
      </x:c>
      <x:c r="C138" s="32" t="n">
        <x:v>46074</x:v>
      </x:c>
      <x:c r="D138" t="str">
        <x:v>2026-02</x:v>
      </x:c>
      <x:c r="E138" s="34" t="n">
        <x:v>55</x:v>
      </x:c>
      <x:c r="F138" t="str">
        <x:v>Henrique Araujo</x:v>
      </x:c>
      <x:c r="G138" t="str">
        <x:v>GO</x:v>
      </x:c>
      <x:c r="H138" t="str">
        <x:v>Anápolis</x:v>
      </x:c>
      <x:c r="I138" s="34" t="n">
        <x:v>26</x:v>
      </x:c>
      <x:c r="J138" t="str">
        <x:v>CANCELADO</x:v>
      </x:c>
      <x:c r="K138" t="str">
        <x:v>WhatsApp</x:v>
      </x:c>
      <x:c r="L138" t="str">
        <x:v>Pix</x:v>
      </x:c>
      <x:c r="M138" s="34" t="n">
        <x:v>5</x:v>
      </x:c>
      <x:c r="N138" t="str">
        <x:v>Mousepad Grande</x:v>
      </x:c>
      <x:c r="O138" t="str">
        <x:v>Acessórios</x:v>
      </x:c>
      <x:c r="P138" t="str">
        <x:v>Prime Eletrônicos</x:v>
      </x:c>
      <x:c r="Q138" s="34" t="n">
        <x:v>3</x:v>
      </x:c>
      <x:c r="R138" s="36" t="n">
        <x:v>39.9</x:v>
      </x:c>
      <x:c r="S138" s="38" t="n">
        <x:v>0.05</x:v>
      </x:c>
      <x:c r="T138" s="36" t="n">
        <x:v>37.9</x:v>
      </x:c>
      <x:c r="U138" s="36" t="n">
        <x:v>119.7</x:v>
      </x:c>
      <x:c r="V138" s="36" t="n">
        <x:v>6</x:v>
      </x:c>
      <x:c r="W138" s="36" t="n">
        <x:v>0</x:v>
      </x:c>
      <x:c r="X138" s="36" t="n">
        <x:v>51</x:v>
      </x:c>
      <x:c r="Y138" s="36" t="n">
        <x:v>0</x:v>
      </x:c>
      <x:c r="Z138" s="38" t="n">
        <x:v>0</x:v>
      </x:c>
      <x:c r="AA138" s="36" t="n">
        <x:v>29.43</x:v>
      </x:c>
      <x:c r="AB138" s="34"/>
      <x:c r="AC138" t="str">
        <x:v>Falha na aprovação do pedido</x:v>
      </x:c>
    </x:row>
    <x:row r="139">
      <x:c r="A139" s="34" t="n">
        <x:v>138</x:v>
      </x:c>
      <x:c r="B139" s="34" t="n">
        <x:v>85</x:v>
      </x:c>
      <x:c r="C139" s="32" t="n">
        <x:v>46074</x:v>
      </x:c>
      <x:c r="D139" t="str">
        <x:v>2026-02</x:v>
      </x:c>
      <x:c r="E139" s="34" t="n">
        <x:v>55</x:v>
      </x:c>
      <x:c r="F139" t="str">
        <x:v>Henrique Araujo</x:v>
      </x:c>
      <x:c r="G139" t="str">
        <x:v>GO</x:v>
      </x:c>
      <x:c r="H139" t="str">
        <x:v>Anápolis</x:v>
      </x:c>
      <x:c r="I139" s="34" t="n">
        <x:v>26</x:v>
      </x:c>
      <x:c r="J139" t="str">
        <x:v>CANCELADO</x:v>
      </x:c>
      <x:c r="K139" t="str">
        <x:v>WhatsApp</x:v>
      </x:c>
      <x:c r="L139" t="str">
        <x:v>Pix</x:v>
      </x:c>
      <x:c r="M139" s="34" t="n">
        <x:v>25</x:v>
      </x:c>
      <x:c r="N139" t="str">
        <x:v>Roteador Wi-Fi AC1200</x:v>
      </x:c>
      <x:c r="O139" t="str">
        <x:v>Rede</x:v>
      </x:c>
      <x:c r="P139" t="str">
        <x:v>Connect Rede</x:v>
      </x:c>
      <x:c r="Q139" s="34" t="n">
        <x:v>1</x:v>
      </x:c>
      <x:c r="R139" s="36" t="n">
        <x:v>249.9</x:v>
      </x:c>
      <x:c r="S139" s="38" t="n">
        <x:v>0.05</x:v>
      </x:c>
      <x:c r="T139" s="36" t="n">
        <x:v>237.41</x:v>
      </x:c>
      <x:c r="U139" s="36" t="n">
        <x:v>249.9</x:v>
      </x:c>
      <x:c r="V139" s="36" t="n">
        <x:v>12.49</x:v>
      </x:c>
      <x:c r="W139" s="36" t="n">
        <x:v>0</x:v>
      </x:c>
      <x:c r="X139" s="36" t="n">
        <x:v>145</x:v>
      </x:c>
      <x:c r="Y139" s="36" t="n">
        <x:v>0</x:v>
      </x:c>
      <x:c r="Z139" s="38" t="n">
        <x:v>0</x:v>
      </x:c>
      <x:c r="AA139" s="36" t="n">
        <x:v>29.43</x:v>
      </x:c>
      <x:c r="AB139" s="34"/>
      <x:c r="AC139" t="str">
        <x:v>Falha na aprovação do pedido</x:v>
      </x:c>
    </x:row>
    <x:row r="140">
      <x:c r="A140" s="34" t="n">
        <x:v>139</x:v>
      </x:c>
      <x:c r="B140" s="34" t="n">
        <x:v>86</x:v>
      </x:c>
      <x:c r="C140" s="32" t="n">
        <x:v>46156</x:v>
      </x:c>
      <x:c r="D140" t="str">
        <x:v>2026-05</x:v>
      </x:c>
      <x:c r="E140" s="34" t="n">
        <x:v>55</x:v>
      </x:c>
      <x:c r="F140" t="str">
        <x:v>Henrique Araujo</x:v>
      </x:c>
      <x:c r="G140" t="str">
        <x:v>GO</x:v>
      </x:c>
      <x:c r="H140" t="str">
        <x:v>Anápolis</x:v>
      </x:c>
      <x:c r="I140" s="34" t="n">
        <x:v>26</x:v>
      </x:c>
      <x:c r="J140" t="str">
        <x:v>ENVIADO</x:v>
      </x:c>
      <x:c r="K140" t="str">
        <x:v>Site</x:v>
      </x:c>
      <x:c r="L140" t="str">
        <x:v>Boleto</x:v>
      </x:c>
      <x:c r="M140" s="34" t="n">
        <x:v>7</x:v>
      </x:c>
      <x:c r="N140" t="str">
        <x:v>Adaptador USB-C HDMI</x:v>
      </x:c>
      <x:c r="O140" t="str">
        <x:v>Acessórios</x:v>
      </x:c>
      <x:c r="P140" t="str">
        <x:v>Prime Eletrônicos</x:v>
      </x:c>
      <x:c r="Q140" s="34" t="n">
        <x:v>1</x:v>
      </x:c>
      <x:c r="R140" s="36" t="n">
        <x:v>119.9</x:v>
      </x:c>
      <x:c r="S140" s="38" t="n">
        <x:v>0</x:v>
      </x:c>
      <x:c r="T140" s="36" t="n">
        <x:v>119.9</x:v>
      </x:c>
      <x:c r="U140" s="36" t="n">
        <x:v>119.9</x:v>
      </x:c>
      <x:c r="V140" s="36" t="n">
        <x:v>0</x:v>
      </x:c>
      <x:c r="W140" s="36" t="n">
        <x:v>119.9</x:v>
      </x:c>
      <x:c r="X140" s="36" t="n">
        <x:v>58</x:v>
      </x:c>
      <x:c r="Y140" s="36" t="n">
        <x:v>61.9</x:v>
      </x:c>
      <x:c r="Z140" s="38" t="n">
        <x:v>0.5163</x:v>
      </x:c>
      <x:c r="AA140" s="36" t="n">
        <x:v>46.71</x:v>
      </x:c>
      <x:c r="AB140" s="34" t="n">
        <x:v>2</x:v>
      </x:c>
      <x:c r="AC140" t="str"/>
    </x:row>
    <x:row r="141">
      <x:c r="A141" s="34" t="n">
        <x:v>140</x:v>
      </x:c>
      <x:c r="B141" s="34" t="n">
        <x:v>86</x:v>
      </x:c>
      <x:c r="C141" s="32" t="n">
        <x:v>46156</x:v>
      </x:c>
      <x:c r="D141" t="str">
        <x:v>2026-05</x:v>
      </x:c>
      <x:c r="E141" s="34" t="n">
        <x:v>55</x:v>
      </x:c>
      <x:c r="F141" t="str">
        <x:v>Henrique Araujo</x:v>
      </x:c>
      <x:c r="G141" t="str">
        <x:v>GO</x:v>
      </x:c>
      <x:c r="H141" t="str">
        <x:v>Anápolis</x:v>
      </x:c>
      <x:c r="I141" s="34" t="n">
        <x:v>26</x:v>
      </x:c>
      <x:c r="J141" t="str">
        <x:v>ENVIADO</x:v>
      </x:c>
      <x:c r="K141" t="str">
        <x:v>Site</x:v>
      </x:c>
      <x:c r="L141" t="str">
        <x:v>Boleto</x:v>
      </x:c>
      <x:c r="M141" s="34" t="n">
        <x:v>6</x:v>
      </x:c>
      <x:c r="N141" t="str">
        <x:v>Cabo HDMI 2m</x:v>
      </x:c>
      <x:c r="O141" t="str">
        <x:v>Acessórios</x:v>
      </x:c>
      <x:c r="P141" t="str">
        <x:v>Prime Eletrônicos</x:v>
      </x:c>
      <x:c r="Q141" s="34" t="n">
        <x:v>1</x:v>
      </x:c>
      <x:c r="R141" s="36" t="n">
        <x:v>29.9</x:v>
      </x:c>
      <x:c r="S141" s="38" t="n">
        <x:v>0</x:v>
      </x:c>
      <x:c r="T141" s="36" t="n">
        <x:v>29.9</x:v>
      </x:c>
      <x:c r="U141" s="36" t="n">
        <x:v>29.9</x:v>
      </x:c>
      <x:c r="V141" s="36" t="n">
        <x:v>0</x:v>
      </x:c>
      <x:c r="W141" s="36" t="n">
        <x:v>29.9</x:v>
      </x:c>
      <x:c r="X141" s="36" t="n">
        <x:v>10</x:v>
      </x:c>
      <x:c r="Y141" s="36" t="n">
        <x:v>19.9</x:v>
      </x:c>
      <x:c r="Z141" s="38" t="n">
        <x:v>0.6656</x:v>
      </x:c>
      <x:c r="AA141" s="36" t="n">
        <x:v>46.71</x:v>
      </x:c>
      <x:c r="AB141" s="34" t="n">
        <x:v>2</x:v>
      </x:c>
      <x:c r="AC141" t="str"/>
    </x:row>
    <x:row r="142">
      <x:c r="A142" s="34" t="n">
        <x:v>141</x:v>
      </x:c>
      <x:c r="B142" s="34" t="n">
        <x:v>87</x:v>
      </x:c>
      <x:c r="C142" s="32" t="n">
        <x:v>46047</x:v>
      </x:c>
      <x:c r="D142" t="str">
        <x:v>2026-01</x:v>
      </x:c>
      <x:c r="E142" s="34" t="n">
        <x:v>38</x:v>
      </x:c>
      <x:c r="F142" t="str">
        <x:v>Diego Santos</x:v>
      </x:c>
      <x:c r="G142" t="str">
        <x:v>MS</x:v>
      </x:c>
      <x:c r="H142" t="str">
        <x:v>Campo Grande</x:v>
      </x:c>
      <x:c r="I142" s="34" t="n">
        <x:v>52</x:v>
      </x:c>
      <x:c r="J142" t="str">
        <x:v>ENTREGUE</x:v>
      </x:c>
      <x:c r="K142" t="str">
        <x:v>Site</x:v>
      </x:c>
      <x:c r="L142" t="str">
        <x:v>Cartão crédito</x:v>
      </x:c>
      <x:c r="M142" s="34" t="n">
        <x:v>1</x:v>
      </x:c>
      <x:c r="N142" t="str">
        <x:v>Mouse Óptico USB</x:v>
      </x:c>
      <x:c r="O142" t="str">
        <x:v>Periféricos</x:v>
      </x:c>
      <x:c r="P142" t="str">
        <x:v>TechDistribuidora Brasil</x:v>
      </x:c>
      <x:c r="Q142" s="34" t="n">
        <x:v>2</x:v>
      </x:c>
      <x:c r="R142" s="36" t="n">
        <x:v>49.9</x:v>
      </x:c>
      <x:c r="S142" s="38" t="n">
        <x:v>0.05</x:v>
      </x:c>
      <x:c r="T142" s="36" t="n">
        <x:v>47.4</x:v>
      </x:c>
      <x:c r="U142" s="36" t="n">
        <x:v>99.8</x:v>
      </x:c>
      <x:c r="V142" s="36" t="n">
        <x:v>5</x:v>
      </x:c>
      <x:c r="W142" s="36" t="n">
        <x:v>94.8</x:v>
      </x:c>
      <x:c r="X142" s="36" t="n">
        <x:v>50</x:v>
      </x:c>
      <x:c r="Y142" s="36" t="n">
        <x:v>44.8</x:v>
      </x:c>
      <x:c r="Z142" s="38" t="n">
        <x:v>0.4726</x:v>
      </x:c>
      <x:c r="AA142" s="36" t="n">
        <x:v>27.37</x:v>
      </x:c>
      <x:c r="AB142" s="34" t="n">
        <x:v>6</x:v>
      </x:c>
      <x:c r="AC142" t="str"/>
    </x:row>
    <x:row r="143">
      <x:c r="A143" s="34" t="n">
        <x:v>142</x:v>
      </x:c>
      <x:c r="B143" s="34" t="n">
        <x:v>87</x:v>
      </x:c>
      <x:c r="C143" s="32" t="n">
        <x:v>46047</x:v>
      </x:c>
      <x:c r="D143" t="str">
        <x:v>2026-01</x:v>
      </x:c>
      <x:c r="E143" s="34" t="n">
        <x:v>38</x:v>
      </x:c>
      <x:c r="F143" t="str">
        <x:v>Diego Santos</x:v>
      </x:c>
      <x:c r="G143" t="str">
        <x:v>MS</x:v>
      </x:c>
      <x:c r="H143" t="str">
        <x:v>Campo Grande</x:v>
      </x:c>
      <x:c r="I143" s="34" t="n">
        <x:v>52</x:v>
      </x:c>
      <x:c r="J143" t="str">
        <x:v>ENTREGUE</x:v>
      </x:c>
      <x:c r="K143" t="str">
        <x:v>Site</x:v>
      </x:c>
      <x:c r="L143" t="str">
        <x:v>Cartão crédito</x:v>
      </x:c>
      <x:c r="M143" s="34" t="n">
        <x:v>14</x:v>
      </x:c>
      <x:c r="N143" t="str">
        <x:v>Memória RAM 16GB DDR4</x:v>
      </x:c>
      <x:c r="O143" t="str">
        <x:v>Componentes</x:v>
      </x:c>
      <x:c r="P143" t="str">
        <x:v>Mega Componentes</x:v>
      </x:c>
      <x:c r="Q143" s="34" t="n">
        <x:v>1</x:v>
      </x:c>
      <x:c r="R143" s="36" t="n">
        <x:v>319.9</x:v>
      </x:c>
      <x:c r="S143" s="38" t="n">
        <x:v>0</x:v>
      </x:c>
      <x:c r="T143" s="36" t="n">
        <x:v>319.9</x:v>
      </x:c>
      <x:c r="U143" s="36" t="n">
        <x:v>319.9</x:v>
      </x:c>
      <x:c r="V143" s="36" t="n">
        <x:v>0</x:v>
      </x:c>
      <x:c r="W143" s="36" t="n">
        <x:v>319.9</x:v>
      </x:c>
      <x:c r="X143" s="36" t="n">
        <x:v>198</x:v>
      </x:c>
      <x:c r="Y143" s="36" t="n">
        <x:v>121.9</x:v>
      </x:c>
      <x:c r="Z143" s="38" t="n">
        <x:v>0.3811</x:v>
      </x:c>
      <x:c r="AA143" s="36" t="n">
        <x:v>27.37</x:v>
      </x:c>
      <x:c r="AB143" s="34" t="n">
        <x:v>6</x:v>
      </x:c>
      <x:c r="AC143" t="str"/>
    </x:row>
    <x:row r="144">
      <x:c r="A144" s="34" t="n">
        <x:v>143</x:v>
      </x:c>
      <x:c r="B144" s="34" t="n">
        <x:v>88</x:v>
      </x:c>
      <x:c r="C144" s="32" t="n">
        <x:v>46135</x:v>
      </x:c>
      <x:c r="D144" t="str">
        <x:v>2026-04</x:v>
      </x:c>
      <x:c r="E144" s="34" t="n">
        <x:v>19</x:v>
      </x:c>
      <x:c r="F144" t="str">
        <x:v>Sofia Nascimento</x:v>
      </x:c>
      <x:c r="G144" t="str">
        <x:v>SP</x:v>
      </x:c>
      <x:c r="H144" t="str">
        <x:v>Catanduva</x:v>
      </x:c>
      <x:c r="I144" s="34" t="n">
        <x:v>32</x:v>
      </x:c>
      <x:c r="J144" t="str">
        <x:v>ENTREGUE</x:v>
      </x:c>
      <x:c r="K144" t="str">
        <x:v>WhatsApp</x:v>
      </x:c>
      <x:c r="L144" t="str">
        <x:v>Pix</x:v>
      </x:c>
      <x:c r="M144" s="34" t="n">
        <x:v>4</x:v>
      </x:c>
      <x:c r="N144" t="str">
        <x:v>Webcam Full HD</x:v>
      </x:c>
      <x:c r="O144" t="str">
        <x:v>Periféricos</x:v>
      </x:c>
      <x:c r="P144" t="str">
        <x:v>Prime Eletrônicos</x:v>
      </x:c>
      <x:c r="Q144" s="34" t="n">
        <x:v>2</x:v>
      </x:c>
      <x:c r="R144" s="36" t="n">
        <x:v>199.9</x:v>
      </x:c>
      <x:c r="S144" s="38" t="n">
        <x:v>0.1</x:v>
      </x:c>
      <x:c r="T144" s="36" t="n">
        <x:v>179.91</x:v>
      </x:c>
      <x:c r="U144" s="36" t="n">
        <x:v>399.8</x:v>
      </x:c>
      <x:c r="V144" s="36" t="n">
        <x:v>39.98</x:v>
      </x:c>
      <x:c r="W144" s="36" t="n">
        <x:v>359.82</x:v>
      </x:c>
      <x:c r="X144" s="36" t="n">
        <x:v>224</x:v>
      </x:c>
      <x:c r="Y144" s="36" t="n">
        <x:v>135.82</x:v>
      </x:c>
      <x:c r="Z144" s="38" t="n">
        <x:v>0.3775</x:v>
      </x:c>
      <x:c r="AA144" s="36" t="n">
        <x:v>12</x:v>
      </x:c>
      <x:c r="AB144" s="34" t="n">
        <x:v>6</x:v>
      </x:c>
      <x:c r="AC144" t="str"/>
    </x:row>
    <x:row r="145">
      <x:c r="A145" s="34" t="n">
        <x:v>144</x:v>
      </x:c>
      <x:c r="B145" s="34" t="n">
        <x:v>89</x:v>
      </x:c>
      <x:c r="C145" s="32" t="n">
        <x:v>46163</x:v>
      </x:c>
      <x:c r="D145" t="str">
        <x:v>2026-05</x:v>
      </x:c>
      <x:c r="E145" s="34" t="n">
        <x:v>52</x:v>
      </x:c>
      <x:c r="F145" t="str">
        <x:v>Henrique Gomes</x:v>
      </x:c>
      <x:c r="G145" t="str">
        <x:v>SP</x:v>
      </x:c>
      <x:c r="H145" t="str">
        <x:v>Catanduva</x:v>
      </x:c>
      <x:c r="I145" s="34" t="n">
        <x:v>27</x:v>
      </x:c>
      <x:c r="J145" t="str">
        <x:v>ENTREGUE</x:v>
      </x:c>
      <x:c r="K145" t="str">
        <x:v>Site</x:v>
      </x:c>
      <x:c r="L145" t="str">
        <x:v>Pix</x:v>
      </x:c>
      <x:c r="M145" s="34" t="n">
        <x:v>4</x:v>
      </x:c>
      <x:c r="N145" t="str">
        <x:v>Webcam Full HD</x:v>
      </x:c>
      <x:c r="O145" t="str">
        <x:v>Periféricos</x:v>
      </x:c>
      <x:c r="P145" t="str">
        <x:v>Prime Eletrônicos</x:v>
      </x:c>
      <x:c r="Q145" s="34" t="n">
        <x:v>1</x:v>
      </x:c>
      <x:c r="R145" s="36" t="n">
        <x:v>199.9</x:v>
      </x:c>
      <x:c r="S145" s="38" t="n">
        <x:v>0</x:v>
      </x:c>
      <x:c r="T145" s="36" t="n">
        <x:v>199.9</x:v>
      </x:c>
      <x:c r="U145" s="36" t="n">
        <x:v>199.9</x:v>
      </x:c>
      <x:c r="V145" s="36" t="n">
        <x:v>0</x:v>
      </x:c>
      <x:c r="W145" s="36" t="n">
        <x:v>199.9</x:v>
      </x:c>
      <x:c r="X145" s="36" t="n">
        <x:v>112</x:v>
      </x:c>
      <x:c r="Y145" s="36" t="n">
        <x:v>87.9</x:v>
      </x:c>
      <x:c r="Z145" s="38" t="n">
        <x:v>0.4397</x:v>
      </x:c>
      <x:c r="AA145" s="36" t="n">
        <x:v>12.85</x:v>
      </x:c>
      <x:c r="AB145" s="34" t="n">
        <x:v>6</x:v>
      </x:c>
      <x:c r="AC145" t="str"/>
    </x:row>
    <x:row r="146">
      <x:c r="A146" s="34" t="n">
        <x:v>145</x:v>
      </x:c>
      <x:c r="B146" s="34" t="n">
        <x:v>89</x:v>
      </x:c>
      <x:c r="C146" s="32" t="n">
        <x:v>46163</x:v>
      </x:c>
      <x:c r="D146" t="str">
        <x:v>2026-05</x:v>
      </x:c>
      <x:c r="E146" s="34" t="n">
        <x:v>52</x:v>
      </x:c>
      <x:c r="F146" t="str">
        <x:v>Henrique Gomes</x:v>
      </x:c>
      <x:c r="G146" t="str">
        <x:v>SP</x:v>
      </x:c>
      <x:c r="H146" t="str">
        <x:v>Catanduva</x:v>
      </x:c>
      <x:c r="I146" s="34" t="n">
        <x:v>27</x:v>
      </x:c>
      <x:c r="J146" t="str">
        <x:v>ENTREGUE</x:v>
      </x:c>
      <x:c r="K146" t="str">
        <x:v>Site</x:v>
      </x:c>
      <x:c r="L146" t="str">
        <x:v>Pix</x:v>
      </x:c>
      <x:c r="M146" s="34" t="n">
        <x:v>5</x:v>
      </x:c>
      <x:c r="N146" t="str">
        <x:v>Mousepad Grande</x:v>
      </x:c>
      <x:c r="O146" t="str">
        <x:v>Acessórios</x:v>
      </x:c>
      <x:c r="P146" t="str">
        <x:v>Prime Eletrônicos</x:v>
      </x:c>
      <x:c r="Q146" s="34" t="n">
        <x:v>2</x:v>
      </x:c>
      <x:c r="R146" s="36" t="n">
        <x:v>39.9</x:v>
      </x:c>
      <x:c r="S146" s="38" t="n">
        <x:v>0.03</x:v>
      </x:c>
      <x:c r="T146" s="36" t="n">
        <x:v>38.7</x:v>
      </x:c>
      <x:c r="U146" s="36" t="n">
        <x:v>79.8</x:v>
      </x:c>
      <x:c r="V146" s="36" t="n">
        <x:v>2.4</x:v>
      </x:c>
      <x:c r="W146" s="36" t="n">
        <x:v>77.4</x:v>
      </x:c>
      <x:c r="X146" s="36" t="n">
        <x:v>34</x:v>
      </x:c>
      <x:c r="Y146" s="36" t="n">
        <x:v>43.4</x:v>
      </x:c>
      <x:c r="Z146" s="38" t="n">
        <x:v>0.5607</x:v>
      </x:c>
      <x:c r="AA146" s="36" t="n">
        <x:v>12.85</x:v>
      </x:c>
      <x:c r="AB146" s="34" t="n">
        <x:v>6</x:v>
      </x:c>
      <x:c r="AC146" t="str"/>
    </x:row>
    <x:row r="147">
      <x:c r="A147" s="34" t="n">
        <x:v>146</x:v>
      </x:c>
      <x:c r="B147" s="34" t="n">
        <x:v>90</x:v>
      </x:c>
      <x:c r="C147" s="32" t="n">
        <x:v>46072</x:v>
      </x:c>
      <x:c r="D147" t="str">
        <x:v>2026-02</x:v>
      </x:c>
      <x:c r="E147" s="34" t="n">
        <x:v>10</x:v>
      </x:c>
      <x:c r="F147" t="str">
        <x:v>Tatiane Rodrigues</x:v>
      </x:c>
      <x:c r="G147" t="str">
        <x:v>SP</x:v>
      </x:c>
      <x:c r="H147" t="str">
        <x:v>Catanduva</x:v>
      </x:c>
      <x:c r="I147" s="34" t="n">
        <x:v>50</x:v>
      </x:c>
      <x:c r="J147" t="str">
        <x:v>ENTREGUE</x:v>
      </x:c>
      <x:c r="K147" t="str">
        <x:v>Instagram</x:v>
      </x:c>
      <x:c r="L147" t="str">
        <x:v>Cartão débito</x:v>
      </x:c>
      <x:c r="M147" s="34" t="n">
        <x:v>26</x:v>
      </x:c>
      <x:c r="N147" t="str">
        <x:v>Switch 8 Portas Gigabit</x:v>
      </x:c>
      <x:c r="O147" t="str">
        <x:v>Rede</x:v>
      </x:c>
      <x:c r="P147" t="str">
        <x:v>Connect Rede</x:v>
      </x:c>
      <x:c r="Q147" s="34" t="n">
        <x:v>1</x:v>
      </x:c>
      <x:c r="R147" s="36" t="n">
        <x:v>189.9</x:v>
      </x:c>
      <x:c r="S147" s="38" t="n">
        <x:v>0</x:v>
      </x:c>
      <x:c r="T147" s="36" t="n">
        <x:v>189.9</x:v>
      </x:c>
      <x:c r="U147" s="36" t="n">
        <x:v>189.9</x:v>
      </x:c>
      <x:c r="V147" s="36" t="n">
        <x:v>0</x:v>
      </x:c>
      <x:c r="W147" s="36" t="n">
        <x:v>189.9</x:v>
      </x:c>
      <x:c r="X147" s="36" t="n">
        <x:v>103</x:v>
      </x:c>
      <x:c r="Y147" s="36" t="n">
        <x:v>86.9</x:v>
      </x:c>
      <x:c r="Z147" s="38" t="n">
        <x:v>0.4576</x:v>
      </x:c>
      <x:c r="AA147" s="36" t="n">
        <x:v>28.89</x:v>
      </x:c>
      <x:c r="AB147" s="34" t="n">
        <x:v>2</x:v>
      </x:c>
      <x:c r="AC147" t="str"/>
    </x:row>
    <x:row r="148">
      <x:c r="A148" s="34" t="n">
        <x:v>147</x:v>
      </x:c>
      <x:c r="B148" s="34" t="n">
        <x:v>91</x:v>
      </x:c>
      <x:c r="C148" s="32" t="n">
        <x:v>46036</x:v>
      </x:c>
      <x:c r="D148" t="str">
        <x:v>2026-01</x:v>
      </x:c>
      <x:c r="E148" s="34" t="n">
        <x:v>27</x:v>
      </x:c>
      <x:c r="F148" t="str">
        <x:v>Rodrigo Almeida</x:v>
      </x:c>
      <x:c r="G148" t="str">
        <x:v>SP</x:v>
      </x:c>
      <x:c r="H148" t="str">
        <x:v>Ribeirão Preto</x:v>
      </x:c>
      <x:c r="I148" s="34" t="n">
        <x:v>64</x:v>
      </x:c>
      <x:c r="J148" t="str">
        <x:v>ENVIADO</x:v>
      </x:c>
      <x:c r="K148" t="str">
        <x:v>Indicação</x:v>
      </x:c>
      <x:c r="L148" t="str">
        <x:v>Cartão débito</x:v>
      </x:c>
      <x:c r="M148" s="34" t="n">
        <x:v>1</x:v>
      </x:c>
      <x:c r="N148" t="str">
        <x:v>Mouse Óptico USB</x:v>
      </x:c>
      <x:c r="O148" t="str">
        <x:v>Periféricos</x:v>
      </x:c>
      <x:c r="P148" t="str">
        <x:v>TechDistribuidora Brasil</x:v>
      </x:c>
      <x:c r="Q148" s="34" t="n">
        <x:v>2</x:v>
      </x:c>
      <x:c r="R148" s="36" t="n">
        <x:v>49.9</x:v>
      </x:c>
      <x:c r="S148" s="38" t="n">
        <x:v>0.03</x:v>
      </x:c>
      <x:c r="T148" s="36" t="n">
        <x:v>48.4</x:v>
      </x:c>
      <x:c r="U148" s="36" t="n">
        <x:v>99.8</x:v>
      </x:c>
      <x:c r="V148" s="36" t="n">
        <x:v>3</x:v>
      </x:c>
      <x:c r="W148" s="36" t="n">
        <x:v>96.8</x:v>
      </x:c>
      <x:c r="X148" s="36" t="n">
        <x:v>50</x:v>
      </x:c>
      <x:c r="Y148" s="36" t="n">
        <x:v>46.8</x:v>
      </x:c>
      <x:c r="Z148" s="38" t="n">
        <x:v>0.4835</x:v>
      </x:c>
      <x:c r="AA148" s="36" t="n">
        <x:v>29.82</x:v>
      </x:c>
      <x:c r="AB148" s="34" t="n">
        <x:v>1</x:v>
      </x:c>
      <x:c r="AC148" t="str"/>
    </x:row>
    <x:row r="149">
      <x:c r="A149" s="34" t="n">
        <x:v>148</x:v>
      </x:c>
      <x:c r="B149" s="34" t="n">
        <x:v>92</x:v>
      </x:c>
      <x:c r="C149" s="32" t="n">
        <x:v>46088</x:v>
      </x:c>
      <x:c r="D149" t="str">
        <x:v>2026-03</x:v>
      </x:c>
      <x:c r="E149" s="34" t="n">
        <x:v>23</x:v>
      </x:c>
      <x:c r="F149" t="str">
        <x:v>Matheus Silva</x:v>
      </x:c>
      <x:c r="G149" t="str">
        <x:v>RJ</x:v>
      </x:c>
      <x:c r="H149" t="str">
        <x:v>Rio de Janeiro</x:v>
      </x:c>
      <x:c r="I149" s="34" t="n">
        <x:v>21</x:v>
      </x:c>
      <x:c r="J149" t="str">
        <x:v>PENDENTE</x:v>
      </x:c>
      <x:c r="K149" t="str">
        <x:v>WhatsApp</x:v>
      </x:c>
      <x:c r="L149" t="str">
        <x:v>Pix</x:v>
      </x:c>
      <x:c r="M149" s="34" t="n">
        <x:v>10</x:v>
      </x:c>
      <x:c r="N149" t="str">
        <x:v>SSD 480GB SATA</x:v>
      </x:c>
      <x:c r="O149" t="str">
        <x:v>Armazenamento</x:v>
      </x:c>
      <x:c r="P149" t="str">
        <x:v>Mega Componentes</x:v>
      </x:c>
      <x:c r="Q149" s="34" t="n">
        <x:v>1</x:v>
      </x:c>
      <x:c r="R149" s="36" t="n">
        <x:v>259.9</x:v>
      </x:c>
      <x:c r="S149" s="38" t="n">
        <x:v>0.05</x:v>
      </x:c>
      <x:c r="T149" s="36" t="n">
        <x:v>246.9</x:v>
      </x:c>
      <x:c r="U149" s="36" t="n">
        <x:v>259.9</x:v>
      </x:c>
      <x:c r="V149" s="36" t="n">
        <x:v>13</x:v>
      </x:c>
      <x:c r="W149" s="36" t="n">
        <x:v>246.9</x:v>
      </x:c>
      <x:c r="X149" s="36" t="n">
        <x:v>158</x:v>
      </x:c>
      <x:c r="Y149" s="36" t="n">
        <x:v>88.9</x:v>
      </x:c>
      <x:c r="Z149" s="38" t="n">
        <x:v>0.3601</x:v>
      </x:c>
      <x:c r="AA149" s="36" t="n">
        <x:v>30.11</x:v>
      </x:c>
      <x:c r="AB149" s="34"/>
      <x:c r="AC149" t="str"/>
    </x:row>
    <x:row r="150">
      <x:c r="A150" s="34" t="n">
        <x:v>149</x:v>
      </x:c>
      <x:c r="B150" s="34" t="n">
        <x:v>92</x:v>
      </x:c>
      <x:c r="C150" s="32" t="n">
        <x:v>46088</x:v>
      </x:c>
      <x:c r="D150" t="str">
        <x:v>2026-03</x:v>
      </x:c>
      <x:c r="E150" s="34" t="n">
        <x:v>23</x:v>
      </x:c>
      <x:c r="F150" t="str">
        <x:v>Matheus Silva</x:v>
      </x:c>
      <x:c r="G150" t="str">
        <x:v>RJ</x:v>
      </x:c>
      <x:c r="H150" t="str">
        <x:v>Rio de Janeiro</x:v>
      </x:c>
      <x:c r="I150" s="34" t="n">
        <x:v>21</x:v>
      </x:c>
      <x:c r="J150" t="str">
        <x:v>PENDENTE</x:v>
      </x:c>
      <x:c r="K150" t="str">
        <x:v>WhatsApp</x:v>
      </x:c>
      <x:c r="L150" t="str">
        <x:v>Pix</x:v>
      </x:c>
      <x:c r="M150" s="34" t="n">
        <x:v>1</x:v>
      </x:c>
      <x:c r="N150" t="str">
        <x:v>Mouse Óptico USB</x:v>
      </x:c>
      <x:c r="O150" t="str">
        <x:v>Periféricos</x:v>
      </x:c>
      <x:c r="P150" t="str">
        <x:v>TechDistribuidora Brasil</x:v>
      </x:c>
      <x:c r="Q150" s="34" t="n">
        <x:v>3</x:v>
      </x:c>
      <x:c r="R150" s="36" t="n">
        <x:v>49.9</x:v>
      </x:c>
      <x:c r="S150" s="38" t="n">
        <x:v>0</x:v>
      </x:c>
      <x:c r="T150" s="36" t="n">
        <x:v>49.9</x:v>
      </x:c>
      <x:c r="U150" s="36" t="n">
        <x:v>149.7</x:v>
      </x:c>
      <x:c r="V150" s="36" t="n">
        <x:v>0</x:v>
      </x:c>
      <x:c r="W150" s="36" t="n">
        <x:v>149.7</x:v>
      </x:c>
      <x:c r="X150" s="36" t="n">
        <x:v>75</x:v>
      </x:c>
      <x:c r="Y150" s="36" t="n">
        <x:v>74.7</x:v>
      </x:c>
      <x:c r="Z150" s="38" t="n">
        <x:v>0.499</x:v>
      </x:c>
      <x:c r="AA150" s="36" t="n">
        <x:v>30.11</x:v>
      </x:c>
      <x:c r="AB150" s="34"/>
      <x:c r="AC150" t="str"/>
    </x:row>
    <x:row r="151">
      <x:c r="A151" s="34" t="n">
        <x:v>150</x:v>
      </x:c>
      <x:c r="B151" s="34" t="n">
        <x:v>93</x:v>
      </x:c>
      <x:c r="C151" s="32" t="n">
        <x:v>46068</x:v>
      </x:c>
      <x:c r="D151" t="str">
        <x:v>2026-02</x:v>
      </x:c>
      <x:c r="E151" s="34" t="n">
        <x:v>29</x:v>
      </x:c>
      <x:c r="F151" t="str">
        <x:v>Thiago Carvalho</x:v>
      </x:c>
      <x:c r="G151" t="str">
        <x:v>SP</x:v>
      </x:c>
      <x:c r="H151" t="str">
        <x:v>São José do Rio Preto</x:v>
      </x:c>
      <x:c r="I151" s="34" t="n">
        <x:v>50</x:v>
      </x:c>
      <x:c r="J151" t="str">
        <x:v>ENTREGUE</x:v>
      </x:c>
      <x:c r="K151" t="str">
        <x:v>Site</x:v>
      </x:c>
      <x:c r="L151" t="str">
        <x:v>Cartão crédito</x:v>
      </x:c>
      <x:c r="M151" s="34" t="n">
        <x:v>27</x:v>
      </x:c>
      <x:c r="N151" t="str">
        <x:v>Placa de Rede PCIe</x:v>
      </x:c>
      <x:c r="O151" t="str">
        <x:v>Rede</x:v>
      </x:c>
      <x:c r="P151" t="str">
        <x:v>Connect Rede</x:v>
      </x:c>
      <x:c r="Q151" s="34" t="n">
        <x:v>2</x:v>
      </x:c>
      <x:c r="R151" s="36" t="n">
        <x:v>79.9</x:v>
      </x:c>
      <x:c r="S151" s="38" t="n">
        <x:v>0</x:v>
      </x:c>
      <x:c r="T151" s="36" t="n">
        <x:v>79.9</x:v>
      </x:c>
      <x:c r="U151" s="36" t="n">
        <x:v>159.8</x:v>
      </x:c>
      <x:c r="V151" s="36" t="n">
        <x:v>0</x:v>
      </x:c>
      <x:c r="W151" s="36" t="n">
        <x:v>159.8</x:v>
      </x:c>
      <x:c r="X151" s="36" t="n">
        <x:v>74</x:v>
      </x:c>
      <x:c r="Y151" s="36" t="n">
        <x:v>85.8</x:v>
      </x:c>
      <x:c r="Z151" s="38" t="n">
        <x:v>0.5369</x:v>
      </x:c>
      <x:c r="AA151" s="36" t="n">
        <x:v>39.97</x:v>
      </x:c>
      <x:c r="AB151" s="34" t="n">
        <x:v>6</x:v>
      </x:c>
      <x:c r="AC151" t="str"/>
    </x:row>
    <x:row r="152">
      <x:c r="A152" s="34" t="n">
        <x:v>151</x:v>
      </x:c>
      <x:c r="B152" s="34" t="n">
        <x:v>93</x:v>
      </x:c>
      <x:c r="C152" s="32" t="n">
        <x:v>46068</x:v>
      </x:c>
      <x:c r="D152" t="str">
        <x:v>2026-02</x:v>
      </x:c>
      <x:c r="E152" s="34" t="n">
        <x:v>29</x:v>
      </x:c>
      <x:c r="F152" t="str">
        <x:v>Thiago Carvalho</x:v>
      </x:c>
      <x:c r="G152" t="str">
        <x:v>SP</x:v>
      </x:c>
      <x:c r="H152" t="str">
        <x:v>São José do Rio Preto</x:v>
      </x:c>
      <x:c r="I152" s="34" t="n">
        <x:v>50</x:v>
      </x:c>
      <x:c r="J152" t="str">
        <x:v>ENTREGUE</x:v>
      </x:c>
      <x:c r="K152" t="str">
        <x:v>Site</x:v>
      </x:c>
      <x:c r="L152" t="str">
        <x:v>Cartão crédito</x:v>
      </x:c>
      <x:c r="M152" s="34" t="n">
        <x:v>6</x:v>
      </x:c>
      <x:c r="N152" t="str">
        <x:v>Cabo HDMI 2m</x:v>
      </x:c>
      <x:c r="O152" t="str">
        <x:v>Acessórios</x:v>
      </x:c>
      <x:c r="P152" t="str">
        <x:v>Prime Eletrônicos</x:v>
      </x:c>
      <x:c r="Q152" s="34" t="n">
        <x:v>1</x:v>
      </x:c>
      <x:c r="R152" s="36" t="n">
        <x:v>29.9</x:v>
      </x:c>
      <x:c r="S152" s="38" t="n">
        <x:v>0</x:v>
      </x:c>
      <x:c r="T152" s="36" t="n">
        <x:v>29.9</x:v>
      </x:c>
      <x:c r="U152" s="36" t="n">
        <x:v>29.9</x:v>
      </x:c>
      <x:c r="V152" s="36" t="n">
        <x:v>0</x:v>
      </x:c>
      <x:c r="W152" s="36" t="n">
        <x:v>29.9</x:v>
      </x:c>
      <x:c r="X152" s="36" t="n">
        <x:v>10</x:v>
      </x:c>
      <x:c r="Y152" s="36" t="n">
        <x:v>19.9</x:v>
      </x:c>
      <x:c r="Z152" s="38" t="n">
        <x:v>0.6656</x:v>
      </x:c>
      <x:c r="AA152" s="36" t="n">
        <x:v>39.97</x:v>
      </x:c>
      <x:c r="AB152" s="34" t="n">
        <x:v>6</x:v>
      </x:c>
      <x:c r="AC152" t="str"/>
    </x:row>
    <x:row r="153">
      <x:c r="A153" s="34" t="n">
        <x:v>152</x:v>
      </x:c>
      <x:c r="B153" s="34" t="n">
        <x:v>93</x:v>
      </x:c>
      <x:c r="C153" s="32" t="n">
        <x:v>46068</x:v>
      </x:c>
      <x:c r="D153" t="str">
        <x:v>2026-02</x:v>
      </x:c>
      <x:c r="E153" s="34" t="n">
        <x:v>29</x:v>
      </x:c>
      <x:c r="F153" t="str">
        <x:v>Thiago Carvalho</x:v>
      </x:c>
      <x:c r="G153" t="str">
        <x:v>SP</x:v>
      </x:c>
      <x:c r="H153" t="str">
        <x:v>São José do Rio Preto</x:v>
      </x:c>
      <x:c r="I153" s="34" t="n">
        <x:v>50</x:v>
      </x:c>
      <x:c r="J153" t="str">
        <x:v>ENTREGUE</x:v>
      </x:c>
      <x:c r="K153" t="str">
        <x:v>Site</x:v>
      </x:c>
      <x:c r="L153" t="str">
        <x:v>Cartão crédito</x:v>
      </x:c>
      <x:c r="M153" s="34" t="n">
        <x:v>15</x:v>
      </x:c>
      <x:c r="N153" t="str">
        <x:v>Fonte 500W 80 Plus</x:v>
      </x:c>
      <x:c r="O153" t="str">
        <x:v>Componentes</x:v>
      </x:c>
      <x:c r="P153" t="str">
        <x:v>FastHardware</x:v>
      </x:c>
      <x:c r="Q153" s="34" t="n">
        <x:v>1</x:v>
      </x:c>
      <x:c r="R153" s="36" t="n">
        <x:v>289.9</x:v>
      </x:c>
      <x:c r="S153" s="38" t="n">
        <x:v>0.05</x:v>
      </x:c>
      <x:c r="T153" s="36" t="n">
        <x:v>275.4</x:v>
      </x:c>
      <x:c r="U153" s="36" t="n">
        <x:v>289.9</x:v>
      </x:c>
      <x:c r="V153" s="36" t="n">
        <x:v>14.5</x:v>
      </x:c>
      <x:c r="W153" s="36" t="n">
        <x:v>275.4</x:v>
      </x:c>
      <x:c r="X153" s="36" t="n">
        <x:v>182</x:v>
      </x:c>
      <x:c r="Y153" s="36" t="n">
        <x:v>93.4</x:v>
      </x:c>
      <x:c r="Z153" s="38" t="n">
        <x:v>0.3391</x:v>
      </x:c>
      <x:c r="AA153" s="36" t="n">
        <x:v>39.97</x:v>
      </x:c>
      <x:c r="AB153" s="34" t="n">
        <x:v>6</x:v>
      </x:c>
      <x:c r="AC153" t="str"/>
    </x:row>
    <x:row r="154">
      <x:c r="A154" s="34" t="n">
        <x:v>153</x:v>
      </x:c>
      <x:c r="B154" s="34" t="n">
        <x:v>94</x:v>
      </x:c>
      <x:c r="C154" s="32" t="n">
        <x:v>46175</x:v>
      </x:c>
      <x:c r="D154" t="str">
        <x:v>2026-06</x:v>
      </x:c>
      <x:c r="E154" s="34" t="n">
        <x:v>35</x:v>
      </x:c>
      <x:c r="F154" t="str">
        <x:v>Sofia Santos</x:v>
      </x:c>
      <x:c r="G154" t="str">
        <x:v>PR</x:v>
      </x:c>
      <x:c r="H154" t="str">
        <x:v>Londrina</x:v>
      </x:c>
      <x:c r="I154" s="34" t="n">
        <x:v>35</x:v>
      </x:c>
      <x:c r="J154" t="str">
        <x:v>ENTREGUE</x:v>
      </x:c>
      <x:c r="K154" t="str">
        <x:v>Site</x:v>
      </x:c>
      <x:c r="L154" t="str">
        <x:v>Cartão crédito</x:v>
      </x:c>
      <x:c r="M154" s="34" t="n">
        <x:v>5</x:v>
      </x:c>
      <x:c r="N154" t="str">
        <x:v>Mousepad Grande</x:v>
      </x:c>
      <x:c r="O154" t="str">
        <x:v>Acessórios</x:v>
      </x:c>
      <x:c r="P154" t="str">
        <x:v>Prime Eletrônicos</x:v>
      </x:c>
      <x:c r="Q154" s="34" t="n">
        <x:v>1</x:v>
      </x:c>
      <x:c r="R154" s="36" t="n">
        <x:v>39.9</x:v>
      </x:c>
      <x:c r="S154" s="38" t="n">
        <x:v>0.05</x:v>
      </x:c>
      <x:c r="T154" s="36" t="n">
        <x:v>37.9</x:v>
      </x:c>
      <x:c r="U154" s="36" t="n">
        <x:v>39.9</x:v>
      </x:c>
      <x:c r="V154" s="36" t="n">
        <x:v>2</x:v>
      </x:c>
      <x:c r="W154" s="36" t="n">
        <x:v>37.9</x:v>
      </x:c>
      <x:c r="X154" s="36" t="n">
        <x:v>17</x:v>
      </x:c>
      <x:c r="Y154" s="36" t="n">
        <x:v>20.9</x:v>
      </x:c>
      <x:c r="Z154" s="38" t="n">
        <x:v>0.5515</x:v>
      </x:c>
      <x:c r="AA154" s="36" t="n">
        <x:v>46.54</x:v>
      </x:c>
      <x:c r="AB154" s="34" t="n">
        <x:v>6</x:v>
      </x:c>
      <x:c r="AC154" t="str"/>
    </x:row>
    <x:row r="155">
      <x:c r="A155" s="34" t="n">
        <x:v>154</x:v>
      </x:c>
      <x:c r="B155" s="34" t="n">
        <x:v>95</x:v>
      </x:c>
      <x:c r="C155" s="32" t="n">
        <x:v>46031</x:v>
      </x:c>
      <x:c r="D155" t="str">
        <x:v>2026-01</x:v>
      </x:c>
      <x:c r="E155" s="34" t="n">
        <x:v>60</x:v>
      </x:c>
      <x:c r="F155" t="str">
        <x:v>Mariana Araujo</x:v>
      </x:c>
      <x:c r="G155" t="str">
        <x:v>PR</x:v>
      </x:c>
      <x:c r="H155" t="str">
        <x:v>Curitiba</x:v>
      </x:c>
      <x:c r="I155" s="34" t="n">
        <x:v>19</x:v>
      </x:c>
      <x:c r="J155" t="str">
        <x:v>ENTREGUE</x:v>
      </x:c>
      <x:c r="K155" t="str">
        <x:v>Site</x:v>
      </x:c>
      <x:c r="L155" t="str">
        <x:v>Pix</x:v>
      </x:c>
      <x:c r="M155" s="34" t="n">
        <x:v>1</x:v>
      </x:c>
      <x:c r="N155" t="str">
        <x:v>Mouse Óptico USB</x:v>
      </x:c>
      <x:c r="O155" t="str">
        <x:v>Periféricos</x:v>
      </x:c>
      <x:c r="P155" t="str">
        <x:v>TechDistribuidora Brasil</x:v>
      </x:c>
      <x:c r="Q155" s="34" t="n">
        <x:v>1</x:v>
      </x:c>
      <x:c r="R155" s="36" t="n">
        <x:v>49.9</x:v>
      </x:c>
      <x:c r="S155" s="38" t="n">
        <x:v>0.08</x:v>
      </x:c>
      <x:c r="T155" s="36" t="n">
        <x:v>45.91</x:v>
      </x:c>
      <x:c r="U155" s="36" t="n">
        <x:v>49.9</x:v>
      </x:c>
      <x:c r="V155" s="36" t="n">
        <x:v>3.99</x:v>
      </x:c>
      <x:c r="W155" s="36" t="n">
        <x:v>45.91</x:v>
      </x:c>
      <x:c r="X155" s="36" t="n">
        <x:v>25</x:v>
      </x:c>
      <x:c r="Y155" s="36" t="n">
        <x:v>20.91</x:v>
      </x:c>
      <x:c r="Z155" s="38" t="n">
        <x:v>0.4555</x:v>
      </x:c>
      <x:c r="AA155" s="36" t="n">
        <x:v>56.57</x:v>
      </x:c>
      <x:c r="AB155" s="34" t="n">
        <x:v>4</x:v>
      </x:c>
      <x:c r="AC155" t="str"/>
    </x:row>
    <x:row r="156">
      <x:c r="A156" s="34" t="n">
        <x:v>155</x:v>
      </x:c>
      <x:c r="B156" s="34" t="n">
        <x:v>95</x:v>
      </x:c>
      <x:c r="C156" s="32" t="n">
        <x:v>46031</x:v>
      </x:c>
      <x:c r="D156" t="str">
        <x:v>2026-01</x:v>
      </x:c>
      <x:c r="E156" s="34" t="n">
        <x:v>60</x:v>
      </x:c>
      <x:c r="F156" t="str">
        <x:v>Mariana Araujo</x:v>
      </x:c>
      <x:c r="G156" t="str">
        <x:v>PR</x:v>
      </x:c>
      <x:c r="H156" t="str">
        <x:v>Curitiba</x:v>
      </x:c>
      <x:c r="I156" s="34" t="n">
        <x:v>19</x:v>
      </x:c>
      <x:c r="J156" t="str">
        <x:v>ENTREGUE</x:v>
      </x:c>
      <x:c r="K156" t="str">
        <x:v>Site</x:v>
      </x:c>
      <x:c r="L156" t="str">
        <x:v>Pix</x:v>
      </x:c>
      <x:c r="M156" s="34" t="n">
        <x:v>4</x:v>
      </x:c>
      <x:c r="N156" t="str">
        <x:v>Webcam Full HD</x:v>
      </x:c>
      <x:c r="O156" t="str">
        <x:v>Periféricos</x:v>
      </x:c>
      <x:c r="P156" t="str">
        <x:v>Prime Eletrônicos</x:v>
      </x:c>
      <x:c r="Q156" s="34" t="n">
        <x:v>1</x:v>
      </x:c>
      <x:c r="R156" s="36" t="n">
        <x:v>199.9</x:v>
      </x:c>
      <x:c r="S156" s="38" t="n">
        <x:v>0.03</x:v>
      </x:c>
      <x:c r="T156" s="36" t="n">
        <x:v>193.9</x:v>
      </x:c>
      <x:c r="U156" s="36" t="n">
        <x:v>199.9</x:v>
      </x:c>
      <x:c r="V156" s="36" t="n">
        <x:v>6</x:v>
      </x:c>
      <x:c r="W156" s="36" t="n">
        <x:v>193.9</x:v>
      </x:c>
      <x:c r="X156" s="36" t="n">
        <x:v>112</x:v>
      </x:c>
      <x:c r="Y156" s="36" t="n">
        <x:v>81.9</x:v>
      </x:c>
      <x:c r="Z156" s="38" t="n">
        <x:v>0.4224</x:v>
      </x:c>
      <x:c r="AA156" s="36" t="n">
        <x:v>56.57</x:v>
      </x:c>
      <x:c r="AB156" s="34" t="n">
        <x:v>4</x:v>
      </x:c>
      <x:c r="AC156" t="str"/>
    </x:row>
    <x:row r="157">
      <x:c r="A157" s="34" t="n">
        <x:v>156</x:v>
      </x:c>
      <x:c r="B157" s="34" t="n">
        <x:v>95</x:v>
      </x:c>
      <x:c r="C157" s="32" t="n">
        <x:v>46031</x:v>
      </x:c>
      <x:c r="D157" t="str">
        <x:v>2026-01</x:v>
      </x:c>
      <x:c r="E157" s="34" t="n">
        <x:v>60</x:v>
      </x:c>
      <x:c r="F157" t="str">
        <x:v>Mariana Araujo</x:v>
      </x:c>
      <x:c r="G157" t="str">
        <x:v>PR</x:v>
      </x:c>
      <x:c r="H157" t="str">
        <x:v>Curitiba</x:v>
      </x:c>
      <x:c r="I157" s="34" t="n">
        <x:v>19</x:v>
      </x:c>
      <x:c r="J157" t="str">
        <x:v>ENTREGUE</x:v>
      </x:c>
      <x:c r="K157" t="str">
        <x:v>Site</x:v>
      </x:c>
      <x:c r="L157" t="str">
        <x:v>Pix</x:v>
      </x:c>
      <x:c r="M157" s="34" t="n">
        <x:v>2</x:v>
      </x:c>
      <x:c r="N157" t="str">
        <x:v>Teclado Membrana ABNT2</x:v>
      </x:c>
      <x:c r="O157" t="str">
        <x:v>Periféricos</x:v>
      </x:c>
      <x:c r="P157" t="str">
        <x:v>TechDistribuidora Brasil</x:v>
      </x:c>
      <x:c r="Q157" s="34" t="n">
        <x:v>1</x:v>
      </x:c>
      <x:c r="R157" s="36" t="n">
        <x:v>89.9</x:v>
      </x:c>
      <x:c r="S157" s="38" t="n">
        <x:v>0.08</x:v>
      </x:c>
      <x:c r="T157" s="36" t="n">
        <x:v>82.71</x:v>
      </x:c>
      <x:c r="U157" s="36" t="n">
        <x:v>89.9</x:v>
      </x:c>
      <x:c r="V157" s="36" t="n">
        <x:v>7.19</x:v>
      </x:c>
      <x:c r="W157" s="36" t="n">
        <x:v>82.71</x:v>
      </x:c>
      <x:c r="X157" s="36" t="n">
        <x:v>48</x:v>
      </x:c>
      <x:c r="Y157" s="36" t="n">
        <x:v>34.71</x:v>
      </x:c>
      <x:c r="Z157" s="38" t="n">
        <x:v>0.4197</x:v>
      </x:c>
      <x:c r="AA157" s="36" t="n">
        <x:v>56.57</x:v>
      </x:c>
      <x:c r="AB157" s="34" t="n">
        <x:v>4</x:v>
      </x:c>
      <x:c r="AC157" t="str"/>
    </x:row>
    <x:row r="158">
      <x:c r="A158" s="34" t="n">
        <x:v>157</x:v>
      </x:c>
      <x:c r="B158" s="34" t="n">
        <x:v>96</x:v>
      </x:c>
      <x:c r="C158" s="32" t="n">
        <x:v>46146</x:v>
      </x:c>
      <x:c r="D158" t="str">
        <x:v>2026-05</x:v>
      </x:c>
      <x:c r="E158" s="34" t="n">
        <x:v>21</x:v>
      </x:c>
      <x:c r="F158" t="str">
        <x:v>Henrique Pereira</x:v>
      </x:c>
      <x:c r="G158" t="str">
        <x:v>RJ</x:v>
      </x:c>
      <x:c r="H158" t="str">
        <x:v>Rio de Janeiro</x:v>
      </x:c>
      <x:c r="I158" s="34" t="n">
        <x:v>52</x:v>
      </x:c>
      <x:c r="J158" t="str">
        <x:v>ENTREGUE</x:v>
      </x:c>
      <x:c r="K158" t="str">
        <x:v>Marketplace</x:v>
      </x:c>
      <x:c r="L158" t="str">
        <x:v>Pix</x:v>
      </x:c>
      <x:c r="M158" s="34" t="n">
        <x:v>20</x:v>
      </x:c>
      <x:c r="N158" t="str">
        <x:v>Monitor IPS 24"</x:v>
      </x:c>
      <x:c r="O158" t="str">
        <x:v>Monitores</x:v>
      </x:c>
      <x:c r="P158" t="str">
        <x:v>Brasil Monitores</x:v>
      </x:c>
      <x:c r="Q158" s="34" t="n">
        <x:v>1</x:v>
      </x:c>
      <x:c r="R158" s="36" t="n">
        <x:v>899.9</x:v>
      </x:c>
      <x:c r="S158" s="38" t="n">
        <x:v>0.03</x:v>
      </x:c>
      <x:c r="T158" s="36" t="n">
        <x:v>872.9</x:v>
      </x:c>
      <x:c r="U158" s="36" t="n">
        <x:v>899.9</x:v>
      </x:c>
      <x:c r="V158" s="36" t="n">
        <x:v>27</x:v>
      </x:c>
      <x:c r="W158" s="36" t="n">
        <x:v>872.9</x:v>
      </x:c>
      <x:c r="X158" s="36" t="n">
        <x:v>665</x:v>
      </x:c>
      <x:c r="Y158" s="36" t="n">
        <x:v>207.9</x:v>
      </x:c>
      <x:c r="Z158" s="38" t="n">
        <x:v>0.2382</x:v>
      </x:c>
      <x:c r="AA158" s="36" t="n">
        <x:v>18.83</x:v>
      </x:c>
      <x:c r="AB158" s="34" t="n">
        <x:v>2</x:v>
      </x:c>
      <x:c r="AC158" t="str"/>
    </x:row>
    <x:row r="159">
      <x:c r="A159" s="34" t="n">
        <x:v>158</x:v>
      </x:c>
      <x:c r="B159" s="34" t="n">
        <x:v>96</x:v>
      </x:c>
      <x:c r="C159" s="32" t="n">
        <x:v>46146</x:v>
      </x:c>
      <x:c r="D159" t="str">
        <x:v>2026-05</x:v>
      </x:c>
      <x:c r="E159" s="34" t="n">
        <x:v>21</x:v>
      </x:c>
      <x:c r="F159" t="str">
        <x:v>Henrique Pereira</x:v>
      </x:c>
      <x:c r="G159" t="str">
        <x:v>RJ</x:v>
      </x:c>
      <x:c r="H159" t="str">
        <x:v>Rio de Janeiro</x:v>
      </x:c>
      <x:c r="I159" s="34" t="n">
        <x:v>52</x:v>
      </x:c>
      <x:c r="J159" t="str">
        <x:v>ENTREGUE</x:v>
      </x:c>
      <x:c r="K159" t="str">
        <x:v>Marketplace</x:v>
      </x:c>
      <x:c r="L159" t="str">
        <x:v>Pix</x:v>
      </x:c>
      <x:c r="M159" s="34" t="n">
        <x:v>25</x:v>
      </x:c>
      <x:c r="N159" t="str">
        <x:v>Roteador Wi-Fi AC1200</x:v>
      </x:c>
      <x:c r="O159" t="str">
        <x:v>Rede</x:v>
      </x:c>
      <x:c r="P159" t="str">
        <x:v>Connect Rede</x:v>
      </x:c>
      <x:c r="Q159" s="34" t="n">
        <x:v>2</x:v>
      </x:c>
      <x:c r="R159" s="36" t="n">
        <x:v>249.9</x:v>
      </x:c>
      <x:c r="S159" s="38" t="n">
        <x:v>0</x:v>
      </x:c>
      <x:c r="T159" s="36" t="n">
        <x:v>249.9</x:v>
      </x:c>
      <x:c r="U159" s="36" t="n">
        <x:v>499.8</x:v>
      </x:c>
      <x:c r="V159" s="36" t="n">
        <x:v>0</x:v>
      </x:c>
      <x:c r="W159" s="36" t="n">
        <x:v>499.8</x:v>
      </x:c>
      <x:c r="X159" s="36" t="n">
        <x:v>290</x:v>
      </x:c>
      <x:c r="Y159" s="36" t="n">
        <x:v>209.8</x:v>
      </x:c>
      <x:c r="Z159" s="38" t="n">
        <x:v>0.4198</x:v>
      </x:c>
      <x:c r="AA159" s="36" t="n">
        <x:v>18.83</x:v>
      </x:c>
      <x:c r="AB159" s="34" t="n">
        <x:v>2</x:v>
      </x:c>
      <x:c r="AC159" t="str"/>
    </x:row>
    <x:row r="160">
      <x:c r="A160" s="34" t="n">
        <x:v>159</x:v>
      </x:c>
      <x:c r="B160" s="34" t="n">
        <x:v>97</x:v>
      </x:c>
      <x:c r="C160" s="32" t="n">
        <x:v>46167</x:v>
      </x:c>
      <x:c r="D160" t="str">
        <x:v>2026-05</x:v>
      </x:c>
      <x:c r="E160" s="34" t="n">
        <x:v>36</x:v>
      </x:c>
      <x:c r="F160" t="str">
        <x:v>Yasmin Carvalho</x:v>
      </x:c>
      <x:c r="G160" t="str">
        <x:v>SP</x:v>
      </x:c>
      <x:c r="H160" t="str">
        <x:v>Votuporanga</x:v>
      </x:c>
      <x:c r="I160" s="34" t="n">
        <x:v>34</x:v>
      </x:c>
      <x:c r="J160" t="str">
        <x:v>ENTREGUE</x:v>
      </x:c>
      <x:c r="K160" t="str">
        <x:v>Site</x:v>
      </x:c>
      <x:c r="L160" t="str">
        <x:v>Pix</x:v>
      </x:c>
      <x:c r="M160" s="34" t="n">
        <x:v>28</x:v>
      </x:c>
      <x:c r="N160" t="str">
        <x:v>Repetidor Wi-Fi</x:v>
      </x:c>
      <x:c r="O160" t="str">
        <x:v>Rede</x:v>
      </x:c>
      <x:c r="P160" t="str">
        <x:v>Connect Rede</x:v>
      </x:c>
      <x:c r="Q160" s="34" t="n">
        <x:v>2</x:v>
      </x:c>
      <x:c r="R160" s="36" t="n">
        <x:v>139.9</x:v>
      </x:c>
      <x:c r="S160" s="38" t="n">
        <x:v>0</x:v>
      </x:c>
      <x:c r="T160" s="36" t="n">
        <x:v>139.9</x:v>
      </x:c>
      <x:c r="U160" s="36" t="n">
        <x:v>279.8</x:v>
      </x:c>
      <x:c r="V160" s="36" t="n">
        <x:v>0</x:v>
      </x:c>
      <x:c r="W160" s="36" t="n">
        <x:v>279.8</x:v>
      </x:c>
      <x:c r="X160" s="36" t="n">
        <x:v>138</x:v>
      </x:c>
      <x:c r="Y160" s="36" t="n">
        <x:v>141.8</x:v>
      </x:c>
      <x:c r="Z160" s="38" t="n">
        <x:v>0.5068</x:v>
      </x:c>
      <x:c r="AA160" s="36" t="n">
        <x:v>30.21</x:v>
      </x:c>
      <x:c r="AB160" s="34" t="n">
        <x:v>4</x:v>
      </x:c>
      <x:c r="AC160" t="str"/>
    </x:row>
    <x:row r="161">
      <x:c r="A161" s="34" t="n">
        <x:v>160</x:v>
      </x:c>
      <x:c r="B161" s="34" t="n">
        <x:v>97</x:v>
      </x:c>
      <x:c r="C161" s="32" t="n">
        <x:v>46167</x:v>
      </x:c>
      <x:c r="D161" t="str">
        <x:v>2026-05</x:v>
      </x:c>
      <x:c r="E161" s="34" t="n">
        <x:v>36</x:v>
      </x:c>
      <x:c r="F161" t="str">
        <x:v>Yasmin Carvalho</x:v>
      </x:c>
      <x:c r="G161" t="str">
        <x:v>SP</x:v>
      </x:c>
      <x:c r="H161" t="str">
        <x:v>Votuporanga</x:v>
      </x:c>
      <x:c r="I161" s="34" t="n">
        <x:v>34</x:v>
      </x:c>
      <x:c r="J161" t="str">
        <x:v>ENTREGUE</x:v>
      </x:c>
      <x:c r="K161" t="str">
        <x:v>Site</x:v>
      </x:c>
      <x:c r="L161" t="str">
        <x:v>Pix</x:v>
      </x:c>
      <x:c r="M161" s="34" t="n">
        <x:v>15</x:v>
      </x:c>
      <x:c r="N161" t="str">
        <x:v>Fonte 500W 80 Plus</x:v>
      </x:c>
      <x:c r="O161" t="str">
        <x:v>Componentes</x:v>
      </x:c>
      <x:c r="P161" t="str">
        <x:v>FastHardware</x:v>
      </x:c>
      <x:c r="Q161" s="34" t="n">
        <x:v>2</x:v>
      </x:c>
      <x:c r="R161" s="36" t="n">
        <x:v>289.9</x:v>
      </x:c>
      <x:c r="S161" s="38" t="n">
        <x:v>0</x:v>
      </x:c>
      <x:c r="T161" s="36" t="n">
        <x:v>289.9</x:v>
      </x:c>
      <x:c r="U161" s="36" t="n">
        <x:v>579.8</x:v>
      </x:c>
      <x:c r="V161" s="36" t="n">
        <x:v>0</x:v>
      </x:c>
      <x:c r="W161" s="36" t="n">
        <x:v>579.8</x:v>
      </x:c>
      <x:c r="X161" s="36" t="n">
        <x:v>364</x:v>
      </x:c>
      <x:c r="Y161" s="36" t="n">
        <x:v>215.8</x:v>
      </x:c>
      <x:c r="Z161" s="38" t="n">
        <x:v>0.3722</x:v>
      </x:c>
      <x:c r="AA161" s="36" t="n">
        <x:v>30.21</x:v>
      </x:c>
      <x:c r="AB161" s="34" t="n">
        <x:v>4</x:v>
      </x:c>
      <x:c r="AC161" t="str"/>
    </x:row>
    <x:row r="162">
      <x:c r="A162" s="34" t="n">
        <x:v>161</x:v>
      </x:c>
      <x:c r="B162" s="34" t="n">
        <x:v>98</x:v>
      </x:c>
      <x:c r="C162" s="32" t="n">
        <x:v>46175</x:v>
      </x:c>
      <x:c r="D162" t="str">
        <x:v>2026-06</x:v>
      </x:c>
      <x:c r="E162" s="34" t="n">
        <x:v>52</x:v>
      </x:c>
      <x:c r="F162" t="str">
        <x:v>Henrique Gomes</x:v>
      </x:c>
      <x:c r="G162" t="str">
        <x:v>SP</x:v>
      </x:c>
      <x:c r="H162" t="str">
        <x:v>Catanduva</x:v>
      </x:c>
      <x:c r="I162" s="34" t="n">
        <x:v>27</x:v>
      </x:c>
      <x:c r="J162" t="str">
        <x:v>ENTREGUE</x:v>
      </x:c>
      <x:c r="K162" t="str">
        <x:v>Site</x:v>
      </x:c>
      <x:c r="L162" t="str">
        <x:v>Pix</x:v>
      </x:c>
      <x:c r="M162" s="34" t="n">
        <x:v>1</x:v>
      </x:c>
      <x:c r="N162" t="str">
        <x:v>Mouse Óptico USB</x:v>
      </x:c>
      <x:c r="O162" t="str">
        <x:v>Periféricos</x:v>
      </x:c>
      <x:c r="P162" t="str">
        <x:v>TechDistribuidora Brasil</x:v>
      </x:c>
      <x:c r="Q162" s="34" t="n">
        <x:v>1</x:v>
      </x:c>
      <x:c r="R162" s="36" t="n">
        <x:v>49.9</x:v>
      </x:c>
      <x:c r="S162" s="38" t="n">
        <x:v>0</x:v>
      </x:c>
      <x:c r="T162" s="36" t="n">
        <x:v>49.9</x:v>
      </x:c>
      <x:c r="U162" s="36" t="n">
        <x:v>49.9</x:v>
      </x:c>
      <x:c r="V162" s="36" t="n">
        <x:v>0</x:v>
      </x:c>
      <x:c r="W162" s="36" t="n">
        <x:v>49.9</x:v>
      </x:c>
      <x:c r="X162" s="36" t="n">
        <x:v>25</x:v>
      </x:c>
      <x:c r="Y162" s="36" t="n">
        <x:v>24.9</x:v>
      </x:c>
      <x:c r="Z162" s="38" t="n">
        <x:v>0.499</x:v>
      </x:c>
      <x:c r="AA162" s="36" t="n">
        <x:v>35.71</x:v>
      </x:c>
      <x:c r="AB162" s="34" t="n">
        <x:v>3</x:v>
      </x:c>
      <x:c r="AC162" t="str"/>
    </x:row>
    <x:row r="163">
      <x:c r="A163" s="34" t="n">
        <x:v>162</x:v>
      </x:c>
      <x:c r="B163" s="34" t="n">
        <x:v>99</x:v>
      </x:c>
      <x:c r="C163" s="32" t="n">
        <x:v>46175</x:v>
      </x:c>
      <x:c r="D163" t="str">
        <x:v>2026-06</x:v>
      </x:c>
      <x:c r="E163" s="34" t="n">
        <x:v>24</x:v>
      </x:c>
      <x:c r="F163" t="str">
        <x:v>Gabriela Nascimento</x:v>
      </x:c>
      <x:c r="G163" t="str">
        <x:v>SP</x:v>
      </x:c>
      <x:c r="H163" t="str">
        <x:v>Votuporanga</x:v>
      </x:c>
      <x:c r="I163" s="34" t="n">
        <x:v>29</x:v>
      </x:c>
      <x:c r="J163" t="str">
        <x:v>ENVIADO</x:v>
      </x:c>
      <x:c r="K163" t="str">
        <x:v>Site</x:v>
      </x:c>
      <x:c r="L163" t="str">
        <x:v>Cartão débito</x:v>
      </x:c>
      <x:c r="M163" s="34" t="n">
        <x:v>18</x:v>
      </x:c>
      <x:c r="N163" t="str">
        <x:v>Cooler para Processador</x:v>
      </x:c>
      <x:c r="O163" t="str">
        <x:v>Componentes</x:v>
      </x:c>
      <x:c r="P163" t="str">
        <x:v>Mega Componentes</x:v>
      </x:c>
      <x:c r="Q163" s="34" t="n">
        <x:v>1</x:v>
      </x:c>
      <x:c r="R163" s="36" t="n">
        <x:v>99.9</x:v>
      </x:c>
      <x:c r="S163" s="38" t="n">
        <x:v>0.05</x:v>
      </x:c>
      <x:c r="T163" s="36" t="n">
        <x:v>94.91</x:v>
      </x:c>
      <x:c r="U163" s="36" t="n">
        <x:v>99.9</x:v>
      </x:c>
      <x:c r="V163" s="36" t="n">
        <x:v>4.99</x:v>
      </x:c>
      <x:c r="W163" s="36" t="n">
        <x:v>94.91</x:v>
      </x:c>
      <x:c r="X163" s="36" t="n">
        <x:v>46</x:v>
      </x:c>
      <x:c r="Y163" s="36" t="n">
        <x:v>48.91</x:v>
      </x:c>
      <x:c r="Z163" s="38" t="n">
        <x:v>0.5153</x:v>
      </x:c>
      <x:c r="AA163" s="36" t="n">
        <x:v>29.58</x:v>
      </x:c>
      <x:c r="AB163" s="34" t="n">
        <x:v>1</x:v>
      </x:c>
      <x:c r="AC163" t="str"/>
    </x:row>
    <x:row r="164">
      <x:c r="A164" s="34" t="n">
        <x:v>163</x:v>
      </x:c>
      <x:c r="B164" s="34" t="n">
        <x:v>100</x:v>
      </x:c>
      <x:c r="C164" s="32" t="n">
        <x:v>46176</x:v>
      </x:c>
      <x:c r="D164" t="str">
        <x:v>2026-06</x:v>
      </x:c>
      <x:c r="E164" s="34" t="n">
        <x:v>36</x:v>
      </x:c>
      <x:c r="F164" t="str">
        <x:v>Yasmin Carvalho</x:v>
      </x:c>
      <x:c r="G164" t="str">
        <x:v>SP</x:v>
      </x:c>
      <x:c r="H164" t="str">
        <x:v>Votuporanga</x:v>
      </x:c>
      <x:c r="I164" s="34" t="n">
        <x:v>34</x:v>
      </x:c>
      <x:c r="J164" t="str">
        <x:v>ENTREGUE</x:v>
      </x:c>
      <x:c r="K164" t="str">
        <x:v>Site</x:v>
      </x:c>
      <x:c r="L164" t="str">
        <x:v>Pix</x:v>
      </x:c>
      <x:c r="M164" s="34" t="n">
        <x:v>4</x:v>
      </x:c>
      <x:c r="N164" t="str">
        <x:v>Webcam Full HD</x:v>
      </x:c>
      <x:c r="O164" t="str">
        <x:v>Periféricos</x:v>
      </x:c>
      <x:c r="P164" t="str">
        <x:v>Prime Eletrônicos</x:v>
      </x:c>
      <x:c r="Q164" s="34" t="n">
        <x:v>2</x:v>
      </x:c>
      <x:c r="R164" s="36" t="n">
        <x:v>199.9</x:v>
      </x:c>
      <x:c r="S164" s="38" t="n">
        <x:v>0.05</x:v>
      </x:c>
      <x:c r="T164" s="36" t="n">
        <x:v>189.91</x:v>
      </x:c>
      <x:c r="U164" s="36" t="n">
        <x:v>399.8</x:v>
      </x:c>
      <x:c r="V164" s="36" t="n">
        <x:v>19.98</x:v>
      </x:c>
      <x:c r="W164" s="36" t="n">
        <x:v>379.82</x:v>
      </x:c>
      <x:c r="X164" s="36" t="n">
        <x:v>224</x:v>
      </x:c>
      <x:c r="Y164" s="36" t="n">
        <x:v>155.82</x:v>
      </x:c>
      <x:c r="Z164" s="38" t="n">
        <x:v>0.4102</x:v>
      </x:c>
      <x:c r="AA164" s="36" t="n">
        <x:v>16.32</x:v>
      </x:c>
      <x:c r="AB164" s="34" t="n">
        <x:v>6</x:v>
      </x:c>
      <x:c r="AC164" t="str"/>
    </x:row>
    <x:row r="165">
      <x:c r="A165" s="34" t="n">
        <x:v>164</x:v>
      </x:c>
      <x:c r="B165" s="34" t="n">
        <x:v>101</x:v>
      </x:c>
      <x:c r="C165" s="32" t="n">
        <x:v>46150</x:v>
      </x:c>
      <x:c r="D165" t="str">
        <x:v>2026-05</x:v>
      </x:c>
      <x:c r="E165" s="34" t="n">
        <x:v>59</x:v>
      </x:c>
      <x:c r="F165" t="str">
        <x:v>Letícia Souza</x:v>
      </x:c>
      <x:c r="G165" t="str">
        <x:v>SP</x:v>
      </x:c>
      <x:c r="H165" t="str">
        <x:v>Votuporanga</x:v>
      </x:c>
      <x:c r="I165" s="34" t="n">
        <x:v>39</x:v>
      </x:c>
      <x:c r="J165" t="str">
        <x:v>ENTREGUE</x:v>
      </x:c>
      <x:c r="K165" t="str">
        <x:v>Marketplace</x:v>
      </x:c>
      <x:c r="L165" t="str">
        <x:v>Cartão crédito</x:v>
      </x:c>
      <x:c r="M165" s="34" t="n">
        <x:v>13</x:v>
      </x:c>
      <x:c r="N165" t="str">
        <x:v>Memória RAM 8GB DDR4</x:v>
      </x:c>
      <x:c r="O165" t="str">
        <x:v>Componentes</x:v>
      </x:c>
      <x:c r="P165" t="str">
        <x:v>Mega Componentes</x:v>
      </x:c>
      <x:c r="Q165" s="34" t="n">
        <x:v>1</x:v>
      </x:c>
      <x:c r="R165" s="36" t="n">
        <x:v>179.9</x:v>
      </x:c>
      <x:c r="S165" s="38" t="n">
        <x:v>0</x:v>
      </x:c>
      <x:c r="T165" s="36" t="n">
        <x:v>179.9</x:v>
      </x:c>
      <x:c r="U165" s="36" t="n">
        <x:v>179.9</x:v>
      </x:c>
      <x:c r="V165" s="36" t="n">
        <x:v>0</x:v>
      </x:c>
      <x:c r="W165" s="36" t="n">
        <x:v>179.9</x:v>
      </x:c>
      <x:c r="X165" s="36" t="n">
        <x:v>107</x:v>
      </x:c>
      <x:c r="Y165" s="36" t="n">
        <x:v>72.9</x:v>
      </x:c>
      <x:c r="Z165" s="38" t="n">
        <x:v>0.4052</x:v>
      </x:c>
      <x:c r="AA165" s="36" t="n">
        <x:v>27.15</x:v>
      </x:c>
      <x:c r="AB165" s="34" t="n">
        <x:v>1</x:v>
      </x:c>
      <x:c r="AC165" t="str"/>
    </x:row>
    <x:row r="166">
      <x:c r="A166" s="34" t="n">
        <x:v>165</x:v>
      </x:c>
      <x:c r="B166" s="34" t="n">
        <x:v>102</x:v>
      </x:c>
      <x:c r="C166" s="32" t="n">
        <x:v>46164</x:v>
      </x:c>
      <x:c r="D166" t="str">
        <x:v>2026-05</x:v>
      </x:c>
      <x:c r="E166" s="34" t="n">
        <x:v>33</x:v>
      </x:c>
      <x:c r="F166" t="str">
        <x:v>Isabela Oliveira</x:v>
      </x:c>
      <x:c r="G166" t="str">
        <x:v>BA</x:v>
      </x:c>
      <x:c r="H166" t="str">
        <x:v>Salvador</x:v>
      </x:c>
      <x:c r="I166" s="34" t="n">
        <x:v>33</x:v>
      </x:c>
      <x:c r="J166" t="str">
        <x:v>ENTREGUE</x:v>
      </x:c>
      <x:c r="K166" t="str">
        <x:v>Site</x:v>
      </x:c>
      <x:c r="L166" t="str">
        <x:v>Cartão crédito</x:v>
      </x:c>
      <x:c r="M166" s="34" t="n">
        <x:v>8</x:v>
      </x:c>
      <x:c r="N166" t="str">
        <x:v>Suporte Articulado para Monitor</x:v>
      </x:c>
      <x:c r="O166" t="str">
        <x:v>Acessórios</x:v>
      </x:c>
      <x:c r="P166" t="str">
        <x:v>OfficeTech Supply</x:v>
      </x:c>
      <x:c r="Q166" s="34" t="n">
        <x:v>1</x:v>
      </x:c>
      <x:c r="R166" s="36" t="n">
        <x:v>149.9</x:v>
      </x:c>
      <x:c r="S166" s="38" t="n">
        <x:v>0.03</x:v>
      </x:c>
      <x:c r="T166" s="36" t="n">
        <x:v>145.4</x:v>
      </x:c>
      <x:c r="U166" s="36" t="n">
        <x:v>149.9</x:v>
      </x:c>
      <x:c r="V166" s="36" t="n">
        <x:v>4.5</x:v>
      </x:c>
      <x:c r="W166" s="36" t="n">
        <x:v>145.4</x:v>
      </x:c>
      <x:c r="X166" s="36" t="n">
        <x:v>73</x:v>
      </x:c>
      <x:c r="Y166" s="36" t="n">
        <x:v>72.4</x:v>
      </x:c>
      <x:c r="Z166" s="38" t="n">
        <x:v>0.4979</x:v>
      </x:c>
      <x:c r="AA166" s="36" t="n">
        <x:v>24.78</x:v>
      </x:c>
      <x:c r="AB166" s="34" t="n">
        <x:v>8</x:v>
      </x:c>
      <x:c r="AC166" t="str"/>
    </x:row>
    <x:row r="167">
      <x:c r="A167" s="34" t="n">
        <x:v>166</x:v>
      </x:c>
      <x:c r="B167" s="34" t="n">
        <x:v>102</x:v>
      </x:c>
      <x:c r="C167" s="32" t="n">
        <x:v>46164</x:v>
      </x:c>
      <x:c r="D167" t="str">
        <x:v>2026-05</x:v>
      </x:c>
      <x:c r="E167" s="34" t="n">
        <x:v>33</x:v>
      </x:c>
      <x:c r="F167" t="str">
        <x:v>Isabela Oliveira</x:v>
      </x:c>
      <x:c r="G167" t="str">
        <x:v>BA</x:v>
      </x:c>
      <x:c r="H167" t="str">
        <x:v>Salvador</x:v>
      </x:c>
      <x:c r="I167" s="34" t="n">
        <x:v>33</x:v>
      </x:c>
      <x:c r="J167" t="str">
        <x:v>ENTREGUE</x:v>
      </x:c>
      <x:c r="K167" t="str">
        <x:v>Site</x:v>
      </x:c>
      <x:c r="L167" t="str">
        <x:v>Cartão crédito</x:v>
      </x:c>
      <x:c r="M167" s="34" t="n">
        <x:v>25</x:v>
      </x:c>
      <x:c r="N167" t="str">
        <x:v>Roteador Wi-Fi AC1200</x:v>
      </x:c>
      <x:c r="O167" t="str">
        <x:v>Rede</x:v>
      </x:c>
      <x:c r="P167" t="str">
        <x:v>Connect Rede</x:v>
      </x:c>
      <x:c r="Q167" s="34" t="n">
        <x:v>1</x:v>
      </x:c>
      <x:c r="R167" s="36" t="n">
        <x:v>249.9</x:v>
      </x:c>
      <x:c r="S167" s="38" t="n">
        <x:v>0.05</x:v>
      </x:c>
      <x:c r="T167" s="36" t="n">
        <x:v>237.41</x:v>
      </x:c>
      <x:c r="U167" s="36" t="n">
        <x:v>249.9</x:v>
      </x:c>
      <x:c r="V167" s="36" t="n">
        <x:v>12.49</x:v>
      </x:c>
      <x:c r="W167" s="36" t="n">
        <x:v>237.41</x:v>
      </x:c>
      <x:c r="X167" s="36" t="n">
        <x:v>145</x:v>
      </x:c>
      <x:c r="Y167" s="36" t="n">
        <x:v>92.41</x:v>
      </x:c>
      <x:c r="Z167" s="38" t="n">
        <x:v>0.3892</x:v>
      </x:c>
      <x:c r="AA167" s="36" t="n">
        <x:v>24.78</x:v>
      </x:c>
      <x:c r="AB167" s="34" t="n">
        <x:v>8</x:v>
      </x:c>
      <x:c r="AC167" t="str"/>
    </x:row>
    <x:row r="168">
      <x:c r="A168" s="34" t="n">
        <x:v>167</x:v>
      </x:c>
      <x:c r="B168" s="34" t="n">
        <x:v>102</x:v>
      </x:c>
      <x:c r="C168" s="32" t="n">
        <x:v>46164</x:v>
      </x:c>
      <x:c r="D168" t="str">
        <x:v>2026-05</x:v>
      </x:c>
      <x:c r="E168" s="34" t="n">
        <x:v>33</x:v>
      </x:c>
      <x:c r="F168" t="str">
        <x:v>Isabela Oliveira</x:v>
      </x:c>
      <x:c r="G168" t="str">
        <x:v>BA</x:v>
      </x:c>
      <x:c r="H168" t="str">
        <x:v>Salvador</x:v>
      </x:c>
      <x:c r="I168" s="34" t="n">
        <x:v>33</x:v>
      </x:c>
      <x:c r="J168" t="str">
        <x:v>ENTREGUE</x:v>
      </x:c>
      <x:c r="K168" t="str">
        <x:v>Site</x:v>
      </x:c>
      <x:c r="L168" t="str">
        <x:v>Cartão crédito</x:v>
      </x:c>
      <x:c r="M168" s="34" t="n">
        <x:v>18</x:v>
      </x:c>
      <x:c r="N168" t="str">
        <x:v>Cooler para Processador</x:v>
      </x:c>
      <x:c r="O168" t="str">
        <x:v>Componentes</x:v>
      </x:c>
      <x:c r="P168" t="str">
        <x:v>Mega Componentes</x:v>
      </x:c>
      <x:c r="Q168" s="34" t="n">
        <x:v>1</x:v>
      </x:c>
      <x:c r="R168" s="36" t="n">
        <x:v>99.9</x:v>
      </x:c>
      <x:c r="S168" s="38" t="n">
        <x:v>0</x:v>
      </x:c>
      <x:c r="T168" s="36" t="n">
        <x:v>99.9</x:v>
      </x:c>
      <x:c r="U168" s="36" t="n">
        <x:v>99.9</x:v>
      </x:c>
      <x:c r="V168" s="36" t="n">
        <x:v>0</x:v>
      </x:c>
      <x:c r="W168" s="36" t="n">
        <x:v>99.9</x:v>
      </x:c>
      <x:c r="X168" s="36" t="n">
        <x:v>46</x:v>
      </x:c>
      <x:c r="Y168" s="36" t="n">
        <x:v>53.9</x:v>
      </x:c>
      <x:c r="Z168" s="38" t="n">
        <x:v>0.5395</x:v>
      </x:c>
      <x:c r="AA168" s="36" t="n">
        <x:v>24.78</x:v>
      </x:c>
      <x:c r="AB168" s="34" t="n">
        <x:v>8</x:v>
      </x:c>
      <x:c r="AC168" t="str"/>
    </x:row>
    <x:row r="169">
      <x:c r="A169" s="34" t="n">
        <x:v>168</x:v>
      </x:c>
      <x:c r="B169" s="34" t="n">
        <x:v>103</x:v>
      </x:c>
      <x:c r="C169" s="32" t="n">
        <x:v>46173</x:v>
      </x:c>
      <x:c r="D169" t="str">
        <x:v>2026-05</x:v>
      </x:c>
      <x:c r="E169" s="34" t="n">
        <x:v>37</x:v>
      </x:c>
      <x:c r="F169" t="str">
        <x:v>Karen Martins</x:v>
      </x:c>
      <x:c r="G169" t="str">
        <x:v>SP</x:v>
      </x:c>
      <x:c r="H169" t="str">
        <x:v>Mirassol</x:v>
      </x:c>
      <x:c r="I169" s="34" t="n">
        <x:v>28</x:v>
      </x:c>
      <x:c r="J169" t="str">
        <x:v>ENVIADO</x:v>
      </x:c>
      <x:c r="K169" t="str">
        <x:v>WhatsApp</x:v>
      </x:c>
      <x:c r="L169" t="str">
        <x:v>Cartão crédito</x:v>
      </x:c>
      <x:c r="M169" s="34" t="n">
        <x:v>9</x:v>
      </x:c>
      <x:c r="N169" t="str">
        <x:v>SSD 240GB SATA</x:v>
      </x:c>
      <x:c r="O169" t="str">
        <x:v>Armazenamento</x:v>
      </x:c>
      <x:c r="P169" t="str">
        <x:v>Mega Componentes</x:v>
      </x:c>
      <x:c r="Q169" s="34" t="n">
        <x:v>1</x:v>
      </x:c>
      <x:c r="R169" s="36" t="n">
        <x:v>169.9</x:v>
      </x:c>
      <x:c r="S169" s="38" t="n">
        <x:v>0.05</x:v>
      </x:c>
      <x:c r="T169" s="36" t="n">
        <x:v>161.41</x:v>
      </x:c>
      <x:c r="U169" s="36" t="n">
        <x:v>169.9</x:v>
      </x:c>
      <x:c r="V169" s="36" t="n">
        <x:v>8.49</x:v>
      </x:c>
      <x:c r="W169" s="36" t="n">
        <x:v>161.41</x:v>
      </x:c>
      <x:c r="X169" s="36" t="n">
        <x:v>98</x:v>
      </x:c>
      <x:c r="Y169" s="36" t="n">
        <x:v>63.41</x:v>
      </x:c>
      <x:c r="Z169" s="38" t="n">
        <x:v>0.3929</x:v>
      </x:c>
      <x:c r="AA169" s="36" t="n">
        <x:v>39.36</x:v>
      </x:c>
      <x:c r="AB169" s="34" t="n">
        <x:v>1</x:v>
      </x:c>
      <x:c r="AC169" t="str"/>
    </x:row>
    <x:row r="170">
      <x:c r="A170" s="34" t="n">
        <x:v>169</x:v>
      </x:c>
      <x:c r="B170" s="34" t="n">
        <x:v>103</x:v>
      </x:c>
      <x:c r="C170" s="32" t="n">
        <x:v>46173</x:v>
      </x:c>
      <x:c r="D170" t="str">
        <x:v>2026-05</x:v>
      </x:c>
      <x:c r="E170" s="34" t="n">
        <x:v>37</x:v>
      </x:c>
      <x:c r="F170" t="str">
        <x:v>Karen Martins</x:v>
      </x:c>
      <x:c r="G170" t="str">
        <x:v>SP</x:v>
      </x:c>
      <x:c r="H170" t="str">
        <x:v>Mirassol</x:v>
      </x:c>
      <x:c r="I170" s="34" t="n">
        <x:v>28</x:v>
      </x:c>
      <x:c r="J170" t="str">
        <x:v>ENVIADO</x:v>
      </x:c>
      <x:c r="K170" t="str">
        <x:v>WhatsApp</x:v>
      </x:c>
      <x:c r="L170" t="str">
        <x:v>Cartão crédito</x:v>
      </x:c>
      <x:c r="M170" s="34" t="n">
        <x:v>14</x:v>
      </x:c>
      <x:c r="N170" t="str">
        <x:v>Memória RAM 16GB DDR4</x:v>
      </x:c>
      <x:c r="O170" t="str">
        <x:v>Componentes</x:v>
      </x:c>
      <x:c r="P170" t="str">
        <x:v>Mega Componentes</x:v>
      </x:c>
      <x:c r="Q170" s="34" t="n">
        <x:v>1</x:v>
      </x:c>
      <x:c r="R170" s="36" t="n">
        <x:v>319.9</x:v>
      </x:c>
      <x:c r="S170" s="38" t="n">
        <x:v>0.1</x:v>
      </x:c>
      <x:c r="T170" s="36" t="n">
        <x:v>287.91</x:v>
      </x:c>
      <x:c r="U170" s="36" t="n">
        <x:v>319.9</x:v>
      </x:c>
      <x:c r="V170" s="36" t="n">
        <x:v>31.99</x:v>
      </x:c>
      <x:c r="W170" s="36" t="n">
        <x:v>287.91</x:v>
      </x:c>
      <x:c r="X170" s="36" t="n">
        <x:v>198</x:v>
      </x:c>
      <x:c r="Y170" s="36" t="n">
        <x:v>89.91</x:v>
      </x:c>
      <x:c r="Z170" s="38" t="n">
        <x:v>0.3123</x:v>
      </x:c>
      <x:c r="AA170" s="36" t="n">
        <x:v>39.36</x:v>
      </x:c>
      <x:c r="AB170" s="34" t="n">
        <x:v>1</x:v>
      </x:c>
      <x:c r="AC170" t="str"/>
    </x:row>
    <x:row r="171">
      <x:c r="A171" s="34" t="n">
        <x:v>170</x:v>
      </x:c>
      <x:c r="B171" s="34" t="n">
        <x:v>103</x:v>
      </x:c>
      <x:c r="C171" s="32" t="n">
        <x:v>46173</x:v>
      </x:c>
      <x:c r="D171" t="str">
        <x:v>2026-05</x:v>
      </x:c>
      <x:c r="E171" s="34" t="n">
        <x:v>37</x:v>
      </x:c>
      <x:c r="F171" t="str">
        <x:v>Karen Martins</x:v>
      </x:c>
      <x:c r="G171" t="str">
        <x:v>SP</x:v>
      </x:c>
      <x:c r="H171" t="str">
        <x:v>Mirassol</x:v>
      </x:c>
      <x:c r="I171" s="34" t="n">
        <x:v>28</x:v>
      </x:c>
      <x:c r="J171" t="str">
        <x:v>ENVIADO</x:v>
      </x:c>
      <x:c r="K171" t="str">
        <x:v>WhatsApp</x:v>
      </x:c>
      <x:c r="L171" t="str">
        <x:v>Cartão crédito</x:v>
      </x:c>
      <x:c r="M171" s="34" t="n">
        <x:v>15</x:v>
      </x:c>
      <x:c r="N171" t="str">
        <x:v>Fonte 500W 80 Plus</x:v>
      </x:c>
      <x:c r="O171" t="str">
        <x:v>Componentes</x:v>
      </x:c>
      <x:c r="P171" t="str">
        <x:v>FastHardware</x:v>
      </x:c>
      <x:c r="Q171" s="34" t="n">
        <x:v>1</x:v>
      </x:c>
      <x:c r="R171" s="36" t="n">
        <x:v>289.9</x:v>
      </x:c>
      <x:c r="S171" s="38" t="n">
        <x:v>0.03</x:v>
      </x:c>
      <x:c r="T171" s="36" t="n">
        <x:v>281.2</x:v>
      </x:c>
      <x:c r="U171" s="36" t="n">
        <x:v>289.9</x:v>
      </x:c>
      <x:c r="V171" s="36" t="n">
        <x:v>8.7</x:v>
      </x:c>
      <x:c r="W171" s="36" t="n">
        <x:v>281.2</x:v>
      </x:c>
      <x:c r="X171" s="36" t="n">
        <x:v>182</x:v>
      </x:c>
      <x:c r="Y171" s="36" t="n">
        <x:v>99.2</x:v>
      </x:c>
      <x:c r="Z171" s="38" t="n">
        <x:v>0.3528</x:v>
      </x:c>
      <x:c r="AA171" s="36" t="n">
        <x:v>39.36</x:v>
      </x:c>
      <x:c r="AB171" s="34" t="n">
        <x:v>1</x:v>
      </x:c>
      <x:c r="AC171" t="str"/>
    </x:row>
    <x:row r="172">
      <x:c r="A172" s="34" t="n">
        <x:v>171</x:v>
      </x:c>
      <x:c r="B172" s="34" t="n">
        <x:v>104</x:v>
      </x:c>
      <x:c r="C172" s="32" t="n">
        <x:v>46135</x:v>
      </x:c>
      <x:c r="D172" t="str">
        <x:v>2026-04</x:v>
      </x:c>
      <x:c r="E172" s="34" t="n">
        <x:v>3</x:v>
      </x:c>
      <x:c r="F172" t="str">
        <x:v>Matheus Almeida</x:v>
      </x:c>
      <x:c r="G172" t="str">
        <x:v>SP</x:v>
      </x:c>
      <x:c r="H172" t="str">
        <x:v>Votuporanga</x:v>
      </x:c>
      <x:c r="I172" s="34" t="n">
        <x:v>23</x:v>
      </x:c>
      <x:c r="J172" t="str">
        <x:v>EM PROCESSAMENTO</x:v>
      </x:c>
      <x:c r="K172" t="str">
        <x:v>Site</x:v>
      </x:c>
      <x:c r="L172" t="str">
        <x:v>Pix</x:v>
      </x:c>
      <x:c r="M172" s="34" t="n">
        <x:v>2</x:v>
      </x:c>
      <x:c r="N172" t="str">
        <x:v>Teclado Membrana ABNT2</x:v>
      </x:c>
      <x:c r="O172" t="str">
        <x:v>Periféricos</x:v>
      </x:c>
      <x:c r="P172" t="str">
        <x:v>TechDistribuidora Brasil</x:v>
      </x:c>
      <x:c r="Q172" s="34" t="n">
        <x:v>1</x:v>
      </x:c>
      <x:c r="R172" s="36" t="n">
        <x:v>89.9</x:v>
      </x:c>
      <x:c r="S172" s="38" t="n">
        <x:v>0</x:v>
      </x:c>
      <x:c r="T172" s="36" t="n">
        <x:v>89.9</x:v>
      </x:c>
      <x:c r="U172" s="36" t="n">
        <x:v>89.9</x:v>
      </x:c>
      <x:c r="V172" s="36" t="n">
        <x:v>0</x:v>
      </x:c>
      <x:c r="W172" s="36" t="n">
        <x:v>89.9</x:v>
      </x:c>
      <x:c r="X172" s="36" t="n">
        <x:v>48</x:v>
      </x:c>
      <x:c r="Y172" s="36" t="n">
        <x:v>41.9</x:v>
      </x:c>
      <x:c r="Z172" s="38" t="n">
        <x:v>0.4661</x:v>
      </x:c>
      <x:c r="AA172" s="36" t="n">
        <x:v>32.47</x:v>
      </x:c>
      <x:c r="AB172" s="34"/>
      <x:c r="AC172" t="str"/>
    </x:row>
    <x:row r="173">
      <x:c r="A173" s="34" t="n">
        <x:v>172</x:v>
      </x:c>
      <x:c r="B173" s="34" t="n">
        <x:v>104</x:v>
      </x:c>
      <x:c r="C173" s="32" t="n">
        <x:v>46135</x:v>
      </x:c>
      <x:c r="D173" t="str">
        <x:v>2026-04</x:v>
      </x:c>
      <x:c r="E173" s="34" t="n">
        <x:v>3</x:v>
      </x:c>
      <x:c r="F173" t="str">
        <x:v>Matheus Almeida</x:v>
      </x:c>
      <x:c r="G173" t="str">
        <x:v>SP</x:v>
      </x:c>
      <x:c r="H173" t="str">
        <x:v>Votuporanga</x:v>
      </x:c>
      <x:c r="I173" s="34" t="n">
        <x:v>23</x:v>
      </x:c>
      <x:c r="J173" t="str">
        <x:v>EM PROCESSAMENTO</x:v>
      </x:c>
      <x:c r="K173" t="str">
        <x:v>Site</x:v>
      </x:c>
      <x:c r="L173" t="str">
        <x:v>Pix</x:v>
      </x:c>
      <x:c r="M173" s="34" t="n">
        <x:v>25</x:v>
      </x:c>
      <x:c r="N173" t="str">
        <x:v>Roteador Wi-Fi AC1200</x:v>
      </x:c>
      <x:c r="O173" t="str">
        <x:v>Rede</x:v>
      </x:c>
      <x:c r="P173" t="str">
        <x:v>Connect Rede</x:v>
      </x:c>
      <x:c r="Q173" s="34" t="n">
        <x:v>1</x:v>
      </x:c>
      <x:c r="R173" s="36" t="n">
        <x:v>249.9</x:v>
      </x:c>
      <x:c r="S173" s="38" t="n">
        <x:v>0.03</x:v>
      </x:c>
      <x:c r="T173" s="36" t="n">
        <x:v>242.4</x:v>
      </x:c>
      <x:c r="U173" s="36" t="n">
        <x:v>249.9</x:v>
      </x:c>
      <x:c r="V173" s="36" t="n">
        <x:v>7.5</x:v>
      </x:c>
      <x:c r="W173" s="36" t="n">
        <x:v>242.4</x:v>
      </x:c>
      <x:c r="X173" s="36" t="n">
        <x:v>145</x:v>
      </x:c>
      <x:c r="Y173" s="36" t="n">
        <x:v>97.4</x:v>
      </x:c>
      <x:c r="Z173" s="38" t="n">
        <x:v>0.4018</x:v>
      </x:c>
      <x:c r="AA173" s="36" t="n">
        <x:v>32.47</x:v>
      </x:c>
      <x:c r="AB173" s="34"/>
      <x:c r="AC173" t="str"/>
    </x:row>
    <x:row r="174">
      <x:c r="A174" s="34" t="n">
        <x:v>173</x:v>
      </x:c>
      <x:c r="B174" s="34" t="n">
        <x:v>104</x:v>
      </x:c>
      <x:c r="C174" s="32" t="n">
        <x:v>46135</x:v>
      </x:c>
      <x:c r="D174" t="str">
        <x:v>2026-04</x:v>
      </x:c>
      <x:c r="E174" s="34" t="n">
        <x:v>3</x:v>
      </x:c>
      <x:c r="F174" t="str">
        <x:v>Matheus Almeida</x:v>
      </x:c>
      <x:c r="G174" t="str">
        <x:v>SP</x:v>
      </x:c>
      <x:c r="H174" t="str">
        <x:v>Votuporanga</x:v>
      </x:c>
      <x:c r="I174" s="34" t="n">
        <x:v>23</x:v>
      </x:c>
      <x:c r="J174" t="str">
        <x:v>EM PROCESSAMENTO</x:v>
      </x:c>
      <x:c r="K174" t="str">
        <x:v>Site</x:v>
      </x:c>
      <x:c r="L174" t="str">
        <x:v>Pix</x:v>
      </x:c>
      <x:c r="M174" s="34" t="n">
        <x:v>1</x:v>
      </x:c>
      <x:c r="N174" t="str">
        <x:v>Mouse Óptico USB</x:v>
      </x:c>
      <x:c r="O174" t="str">
        <x:v>Periféricos</x:v>
      </x:c>
      <x:c r="P174" t="str">
        <x:v>TechDistribuidora Brasil</x:v>
      </x:c>
      <x:c r="Q174" s="34" t="n">
        <x:v>3</x:v>
      </x:c>
      <x:c r="R174" s="36" t="n">
        <x:v>49.9</x:v>
      </x:c>
      <x:c r="S174" s="38" t="n">
        <x:v>0.1</x:v>
      </x:c>
      <x:c r="T174" s="36" t="n">
        <x:v>44.91</x:v>
      </x:c>
      <x:c r="U174" s="36" t="n">
        <x:v>149.7</x:v>
      </x:c>
      <x:c r="V174" s="36" t="n">
        <x:v>14.97</x:v>
      </x:c>
      <x:c r="W174" s="36" t="n">
        <x:v>134.73</x:v>
      </x:c>
      <x:c r="X174" s="36" t="n">
        <x:v>75</x:v>
      </x:c>
      <x:c r="Y174" s="36" t="n">
        <x:v>59.73</x:v>
      </x:c>
      <x:c r="Z174" s="38" t="n">
        <x:v>0.4433</x:v>
      </x:c>
      <x:c r="AA174" s="36" t="n">
        <x:v>32.47</x:v>
      </x:c>
      <x:c r="AB174" s="34"/>
      <x:c r="AC174" t="str"/>
    </x:row>
    <x:row r="175">
      <x:c r="A175" s="34" t="n">
        <x:v>174</x:v>
      </x:c>
      <x:c r="B175" s="34" t="n">
        <x:v>105</x:v>
      </x:c>
      <x:c r="C175" s="32" t="n">
        <x:v>46176</x:v>
      </x:c>
      <x:c r="D175" t="str">
        <x:v>2026-06</x:v>
      </x:c>
      <x:c r="E175" s="34" t="n">
        <x:v>2</x:v>
      </x:c>
      <x:c r="F175" t="str">
        <x:v>Beatriz Costa</x:v>
      </x:c>
      <x:c r="G175" t="str">
        <x:v>SP</x:v>
      </x:c>
      <x:c r="H175" t="str">
        <x:v>Votuporanga</x:v>
      </x:c>
      <x:c r="I175" s="34" t="n">
        <x:v>24</x:v>
      </x:c>
      <x:c r="J175" t="str">
        <x:v>ENTREGUE</x:v>
      </x:c>
      <x:c r="K175" t="str">
        <x:v>WhatsApp</x:v>
      </x:c>
      <x:c r="L175" t="str">
        <x:v>Pix</x:v>
      </x:c>
      <x:c r="M175" s="34" t="n">
        <x:v>10</x:v>
      </x:c>
      <x:c r="N175" t="str">
        <x:v>SSD 480GB SATA</x:v>
      </x:c>
      <x:c r="O175" t="str">
        <x:v>Armazenamento</x:v>
      </x:c>
      <x:c r="P175" t="str">
        <x:v>Mega Componentes</x:v>
      </x:c>
      <x:c r="Q175" s="34" t="n">
        <x:v>2</x:v>
      </x:c>
      <x:c r="R175" s="36" t="n">
        <x:v>259.9</x:v>
      </x:c>
      <x:c r="S175" s="38" t="n">
        <x:v>0.05</x:v>
      </x:c>
      <x:c r="T175" s="36" t="n">
        <x:v>246.9</x:v>
      </x:c>
      <x:c r="U175" s="36" t="n">
        <x:v>519.8</x:v>
      </x:c>
      <x:c r="V175" s="36" t="n">
        <x:v>26</x:v>
      </x:c>
      <x:c r="W175" s="36" t="n">
        <x:v>493.8</x:v>
      </x:c>
      <x:c r="X175" s="36" t="n">
        <x:v>316</x:v>
      </x:c>
      <x:c r="Y175" s="36" t="n">
        <x:v>177.8</x:v>
      </x:c>
      <x:c r="Z175" s="38" t="n">
        <x:v>0.3601</x:v>
      </x:c>
      <x:c r="AA175" s="36" t="n">
        <x:v>26.46</x:v>
      </x:c>
      <x:c r="AB175" s="34" t="n">
        <x:v>10</x:v>
      </x:c>
      <x:c r="AC175" t="str"/>
    </x:row>
    <x:row r="176">
      <x:c r="A176" s="34" t="n">
        <x:v>175</x:v>
      </x:c>
      <x:c r="B176" s="34" t="n">
        <x:v>106</x:v>
      </x:c>
      <x:c r="C176" s="32" t="n">
        <x:v>46128</x:v>
      </x:c>
      <x:c r="D176" t="str">
        <x:v>2026-04</x:v>
      </x:c>
      <x:c r="E176" s="34" t="n">
        <x:v>59</x:v>
      </x:c>
      <x:c r="F176" t="str">
        <x:v>Letícia Souza</x:v>
      </x:c>
      <x:c r="G176" t="str">
        <x:v>SP</x:v>
      </x:c>
      <x:c r="H176" t="str">
        <x:v>Votuporanga</x:v>
      </x:c>
      <x:c r="I176" s="34" t="n">
        <x:v>39</x:v>
      </x:c>
      <x:c r="J176" t="str">
        <x:v>ENTREGUE</x:v>
      </x:c>
      <x:c r="K176" t="str">
        <x:v>Site</x:v>
      </x:c>
      <x:c r="L176" t="str">
        <x:v>Pix</x:v>
      </x:c>
      <x:c r="M176" s="34" t="n">
        <x:v>27</x:v>
      </x:c>
      <x:c r="N176" t="str">
        <x:v>Placa de Rede PCIe</x:v>
      </x:c>
      <x:c r="O176" t="str">
        <x:v>Rede</x:v>
      </x:c>
      <x:c r="P176" t="str">
        <x:v>Connect Rede</x:v>
      </x:c>
      <x:c r="Q176" s="34" t="n">
        <x:v>2</x:v>
      </x:c>
      <x:c r="R176" s="36" t="n">
        <x:v>79.9</x:v>
      </x:c>
      <x:c r="S176" s="38" t="n">
        <x:v>0</x:v>
      </x:c>
      <x:c r="T176" s="36" t="n">
        <x:v>79.9</x:v>
      </x:c>
      <x:c r="U176" s="36" t="n">
        <x:v>159.8</x:v>
      </x:c>
      <x:c r="V176" s="36" t="n">
        <x:v>0</x:v>
      </x:c>
      <x:c r="W176" s="36" t="n">
        <x:v>159.8</x:v>
      </x:c>
      <x:c r="X176" s="36" t="n">
        <x:v>74</x:v>
      </x:c>
      <x:c r="Y176" s="36" t="n">
        <x:v>85.8</x:v>
      </x:c>
      <x:c r="Z176" s="38" t="n">
        <x:v>0.5369</x:v>
      </x:c>
      <x:c r="AA176" s="36" t="n">
        <x:v>24.76</x:v>
      </x:c>
      <x:c r="AB176" s="34" t="n">
        <x:v>3</x:v>
      </x:c>
      <x:c r="AC176" t="str"/>
    </x:row>
    <x:row r="177">
      <x:c r="A177" s="34" t="n">
        <x:v>176</x:v>
      </x:c>
      <x:c r="B177" s="34" t="n">
        <x:v>107</x:v>
      </x:c>
      <x:c r="C177" s="32" t="n">
        <x:v>46177</x:v>
      </x:c>
      <x:c r="D177" t="str">
        <x:v>2026-06</x:v>
      </x:c>
      <x:c r="E177" s="34" t="n">
        <x:v>30</x:v>
      </x:c>
      <x:c r="F177" t="str">
        <x:v>Renan Souza</x:v>
      </x:c>
      <x:c r="G177" t="str">
        <x:v>SP</x:v>
      </x:c>
      <x:c r="H177" t="str">
        <x:v>São Paulo</x:v>
      </x:c>
      <x:c r="I177" s="34" t="n">
        <x:v>33</x:v>
      </x:c>
      <x:c r="J177" t="str">
        <x:v>CANCELADO</x:v>
      </x:c>
      <x:c r="K177" t="str">
        <x:v>WhatsApp</x:v>
      </x:c>
      <x:c r="L177" t="str">
        <x:v>Cartão crédito</x:v>
      </x:c>
      <x:c r="M177" s="34" t="n">
        <x:v>29</x:v>
      </x:c>
      <x:c r="N177" t="str">
        <x:v>Impressora Multifuncional</x:v>
      </x:c>
      <x:c r="O177" t="str">
        <x:v>Office</x:v>
      </x:c>
      <x:c r="P177" t="str">
        <x:v>OfficeTech Supply</x:v>
      </x:c>
      <x:c r="Q177" s="34" t="n">
        <x:v>1</x:v>
      </x:c>
      <x:c r="R177" s="36" t="n">
        <x:v>699.9</x:v>
      </x:c>
      <x:c r="S177" s="38" t="n">
        <x:v>0</x:v>
      </x:c>
      <x:c r="T177" s="36" t="n">
        <x:v>699.9</x:v>
      </x:c>
      <x:c r="U177" s="36" t="n">
        <x:v>699.9</x:v>
      </x:c>
      <x:c r="V177" s="36" t="n">
        <x:v>0</x:v>
      </x:c>
      <x:c r="W177" s="36" t="n">
        <x:v>0</x:v>
      </x:c>
      <x:c r="X177" s="36" t="n">
        <x:v>498</x:v>
      </x:c>
      <x:c r="Y177" s="36" t="n">
        <x:v>0</x:v>
      </x:c>
      <x:c r="Z177" s="38" t="n">
        <x:v>0</x:v>
      </x:c>
      <x:c r="AA177" s="36" t="n">
        <x:v>45.8</x:v>
      </x:c>
      <x:c r="AB177" s="34"/>
      <x:c r="AC177" t="str">
        <x:v>Falta de estoque</x:v>
      </x:c>
    </x:row>
    <x:row r="178">
      <x:c r="A178" s="34" t="n">
        <x:v>177</x:v>
      </x:c>
      <x:c r="B178" s="34" t="n">
        <x:v>107</x:v>
      </x:c>
      <x:c r="C178" s="32" t="n">
        <x:v>46177</x:v>
      </x:c>
      <x:c r="D178" t="str">
        <x:v>2026-06</x:v>
      </x:c>
      <x:c r="E178" s="34" t="n">
        <x:v>30</x:v>
      </x:c>
      <x:c r="F178" t="str">
        <x:v>Renan Souza</x:v>
      </x:c>
      <x:c r="G178" t="str">
        <x:v>SP</x:v>
      </x:c>
      <x:c r="H178" t="str">
        <x:v>São Paulo</x:v>
      </x:c>
      <x:c r="I178" s="34" t="n">
        <x:v>33</x:v>
      </x:c>
      <x:c r="J178" t="str">
        <x:v>CANCELADO</x:v>
      </x:c>
      <x:c r="K178" t="str">
        <x:v>WhatsApp</x:v>
      </x:c>
      <x:c r="L178" t="str">
        <x:v>Cartão crédito</x:v>
      </x:c>
      <x:c r="M178" s="34" t="n">
        <x:v>4</x:v>
      </x:c>
      <x:c r="N178" t="str">
        <x:v>Webcam Full HD</x:v>
      </x:c>
      <x:c r="O178" t="str">
        <x:v>Periféricos</x:v>
      </x:c>
      <x:c r="P178" t="str">
        <x:v>Prime Eletrônicos</x:v>
      </x:c>
      <x:c r="Q178" s="34" t="n">
        <x:v>1</x:v>
      </x:c>
      <x:c r="R178" s="36" t="n">
        <x:v>199.9</x:v>
      </x:c>
      <x:c r="S178" s="38" t="n">
        <x:v>0.05</x:v>
      </x:c>
      <x:c r="T178" s="36" t="n">
        <x:v>189.91</x:v>
      </x:c>
      <x:c r="U178" s="36" t="n">
        <x:v>199.9</x:v>
      </x:c>
      <x:c r="V178" s="36" t="n">
        <x:v>9.99</x:v>
      </x:c>
      <x:c r="W178" s="36" t="n">
        <x:v>0</x:v>
      </x:c>
      <x:c r="X178" s="36" t="n">
        <x:v>112</x:v>
      </x:c>
      <x:c r="Y178" s="36" t="n">
        <x:v>0</x:v>
      </x:c>
      <x:c r="Z178" s="38" t="n">
        <x:v>0</x:v>
      </x:c>
      <x:c r="AA178" s="36" t="n">
        <x:v>45.8</x:v>
      </x:c>
      <x:c r="AB178" s="34"/>
      <x:c r="AC178" t="str">
        <x:v>Falta de estoque</x:v>
      </x:c>
    </x:row>
    <x:row r="179">
      <x:c r="A179" s="34" t="n">
        <x:v>178</x:v>
      </x:c>
      <x:c r="B179" s="34" t="n">
        <x:v>108</x:v>
      </x:c>
      <x:c r="C179" s="32" t="n">
        <x:v>46177</x:v>
      </x:c>
      <x:c r="D179" t="str">
        <x:v>2026-06</x:v>
      </x:c>
      <x:c r="E179" s="34" t="n">
        <x:v>55</x:v>
      </x:c>
      <x:c r="F179" t="str">
        <x:v>Henrique Araujo</x:v>
      </x:c>
      <x:c r="G179" t="str">
        <x:v>GO</x:v>
      </x:c>
      <x:c r="H179" t="str">
        <x:v>Anápolis</x:v>
      </x:c>
      <x:c r="I179" s="34" t="n">
        <x:v>26</x:v>
      </x:c>
      <x:c r="J179" t="str">
        <x:v>PENDENTE</x:v>
      </x:c>
      <x:c r="K179" t="str">
        <x:v>Indicação</x:v>
      </x:c>
      <x:c r="L179" t="str">
        <x:v>Pix</x:v>
      </x:c>
      <x:c r="M179" s="34" t="n">
        <x:v>25</x:v>
      </x:c>
      <x:c r="N179" t="str">
        <x:v>Roteador Wi-Fi AC1200</x:v>
      </x:c>
      <x:c r="O179" t="str">
        <x:v>Rede</x:v>
      </x:c>
      <x:c r="P179" t="str">
        <x:v>Connect Rede</x:v>
      </x:c>
      <x:c r="Q179" s="34" t="n">
        <x:v>1</x:v>
      </x:c>
      <x:c r="R179" s="36" t="n">
        <x:v>249.9</x:v>
      </x:c>
      <x:c r="S179" s="38" t="n">
        <x:v>0</x:v>
      </x:c>
      <x:c r="T179" s="36" t="n">
        <x:v>249.9</x:v>
      </x:c>
      <x:c r="U179" s="36" t="n">
        <x:v>249.9</x:v>
      </x:c>
      <x:c r="V179" s="36" t="n">
        <x:v>0</x:v>
      </x:c>
      <x:c r="W179" s="36" t="n">
        <x:v>249.9</x:v>
      </x:c>
      <x:c r="X179" s="36" t="n">
        <x:v>145</x:v>
      </x:c>
      <x:c r="Y179" s="36" t="n">
        <x:v>104.9</x:v>
      </x:c>
      <x:c r="Z179" s="38" t="n">
        <x:v>0.4198</x:v>
      </x:c>
      <x:c r="AA179" s="36" t="n">
        <x:v>14.93</x:v>
      </x:c>
      <x:c r="AB179" s="34"/>
      <x:c r="AC179" t="str"/>
    </x:row>
    <x:row r="180">
      <x:c r="A180" s="34" t="n">
        <x:v>179</x:v>
      </x:c>
      <x:c r="B180" s="34" t="n">
        <x:v>109</x:v>
      </x:c>
      <x:c r="C180" s="32" t="n">
        <x:v>46075</x:v>
      </x:c>
      <x:c r="D180" t="str">
        <x:v>2026-02</x:v>
      </x:c>
      <x:c r="E180" s="34" t="n">
        <x:v>56</x:v>
      </x:c>
      <x:c r="F180" t="str">
        <x:v>Olívia Lima</x:v>
      </x:c>
      <x:c r="G180" t="str">
        <x:v>SC</x:v>
      </x:c>
      <x:c r="H180" t="str">
        <x:v>Florianópolis</x:v>
      </x:c>
      <x:c r="I180" s="34" t="n">
        <x:v>53</x:v>
      </x:c>
      <x:c r="J180" t="str">
        <x:v>ENVIADO</x:v>
      </x:c>
      <x:c r="K180" t="str">
        <x:v>Site</x:v>
      </x:c>
      <x:c r="L180" t="str">
        <x:v>Pix</x:v>
      </x:c>
      <x:c r="M180" s="34" t="n">
        <x:v>11</x:v>
      </x:c>
      <x:c r="N180" t="str">
        <x:v>SSD NVMe 500GB</x:v>
      </x:c>
      <x:c r="O180" t="str">
        <x:v>Armazenamento</x:v>
      </x:c>
      <x:c r="P180" t="str">
        <x:v>FastHardware</x:v>
      </x:c>
      <x:c r="Q180" s="34" t="n">
        <x:v>2</x:v>
      </x:c>
      <x:c r="R180" s="36" t="n">
        <x:v>329.9</x:v>
      </x:c>
      <x:c r="S180" s="38" t="n">
        <x:v>0</x:v>
      </x:c>
      <x:c r="T180" s="36" t="n">
        <x:v>329.9</x:v>
      </x:c>
      <x:c r="U180" s="36" t="n">
        <x:v>659.8</x:v>
      </x:c>
      <x:c r="V180" s="36" t="n">
        <x:v>0</x:v>
      </x:c>
      <x:c r="W180" s="36" t="n">
        <x:v>659.8</x:v>
      </x:c>
      <x:c r="X180" s="36" t="n">
        <x:v>410</x:v>
      </x:c>
      <x:c r="Y180" s="36" t="n">
        <x:v>249.8</x:v>
      </x:c>
      <x:c r="Z180" s="38" t="n">
        <x:v>0.3786</x:v>
      </x:c>
      <x:c r="AA180" s="36" t="n">
        <x:v>13.65</x:v>
      </x:c>
      <x:c r="AB180" s="34" t="n">
        <x:v>2</x:v>
      </x:c>
      <x:c r="AC180" t="str"/>
    </x:row>
    <x:row r="181">
      <x:c r="A181" s="34" t="n">
        <x:v>180</x:v>
      </x:c>
      <x:c r="B181" s="34" t="n">
        <x:v>109</x:v>
      </x:c>
      <x:c r="C181" s="32" t="n">
        <x:v>46075</x:v>
      </x:c>
      <x:c r="D181" t="str">
        <x:v>2026-02</x:v>
      </x:c>
      <x:c r="E181" s="34" t="n">
        <x:v>56</x:v>
      </x:c>
      <x:c r="F181" t="str">
        <x:v>Olívia Lima</x:v>
      </x:c>
      <x:c r="G181" t="str">
        <x:v>SC</x:v>
      </x:c>
      <x:c r="H181" t="str">
        <x:v>Florianópolis</x:v>
      </x:c>
      <x:c r="I181" s="34" t="n">
        <x:v>53</x:v>
      </x:c>
      <x:c r="J181" t="str">
        <x:v>ENVIADO</x:v>
      </x:c>
      <x:c r="K181" t="str">
        <x:v>Site</x:v>
      </x:c>
      <x:c r="L181" t="str">
        <x:v>Pix</x:v>
      </x:c>
      <x:c r="M181" s="34" t="n">
        <x:v>5</x:v>
      </x:c>
      <x:c r="N181" t="str">
        <x:v>Mousepad Grande</x:v>
      </x:c>
      <x:c r="O181" t="str">
        <x:v>Acessórios</x:v>
      </x:c>
      <x:c r="P181" t="str">
        <x:v>Prime Eletrônicos</x:v>
      </x:c>
      <x:c r="Q181" s="34" t="n">
        <x:v>1</x:v>
      </x:c>
      <x:c r="R181" s="36" t="n">
        <x:v>39.9</x:v>
      </x:c>
      <x:c r="S181" s="38" t="n">
        <x:v>0</x:v>
      </x:c>
      <x:c r="T181" s="36" t="n">
        <x:v>39.9</x:v>
      </x:c>
      <x:c r="U181" s="36" t="n">
        <x:v>39.9</x:v>
      </x:c>
      <x:c r="V181" s="36" t="n">
        <x:v>0</x:v>
      </x:c>
      <x:c r="W181" s="36" t="n">
        <x:v>39.9</x:v>
      </x:c>
      <x:c r="X181" s="36" t="n">
        <x:v>17</x:v>
      </x:c>
      <x:c r="Y181" s="36" t="n">
        <x:v>22.9</x:v>
      </x:c>
      <x:c r="Z181" s="38" t="n">
        <x:v>0.5739</x:v>
      </x:c>
      <x:c r="AA181" s="36" t="n">
        <x:v>13.65</x:v>
      </x:c>
      <x:c r="AB181" s="34" t="n">
        <x:v>2</x:v>
      </x:c>
      <x:c r="AC181" t="str"/>
    </x:row>
    <x:row r="182">
      <x:c r="A182" s="34" t="n">
        <x:v>181</x:v>
      </x:c>
      <x:c r="B182" s="34" t="n">
        <x:v>110</x:v>
      </x:c>
      <x:c r="C182" s="32" t="n">
        <x:v>46156</x:v>
      </x:c>
      <x:c r="D182" t="str">
        <x:v>2026-05</x:v>
      </x:c>
      <x:c r="E182" s="34" t="n">
        <x:v>53</x:v>
      </x:c>
      <x:c r="F182" t="str">
        <x:v>Carla Almeida</x:v>
      </x:c>
      <x:c r="G182" t="str">
        <x:v>SP</x:v>
      </x:c>
      <x:c r="H182" t="str">
        <x:v>Ribeirão Preto</x:v>
      </x:c>
      <x:c r="I182" s="34" t="n">
        <x:v>54</x:v>
      </x:c>
      <x:c r="J182" t="str">
        <x:v>ENTREGUE</x:v>
      </x:c>
      <x:c r="K182" t="str">
        <x:v>Site</x:v>
      </x:c>
      <x:c r="L182" t="str">
        <x:v>Cartão débito</x:v>
      </x:c>
      <x:c r="M182" s="34" t="n">
        <x:v>2</x:v>
      </x:c>
      <x:c r="N182" t="str">
        <x:v>Teclado Membrana ABNT2</x:v>
      </x:c>
      <x:c r="O182" t="str">
        <x:v>Periféricos</x:v>
      </x:c>
      <x:c r="P182" t="str">
        <x:v>TechDistribuidora Brasil</x:v>
      </x:c>
      <x:c r="Q182" s="34" t="n">
        <x:v>1</x:v>
      </x:c>
      <x:c r="R182" s="36" t="n">
        <x:v>89.9</x:v>
      </x:c>
      <x:c r="S182" s="38" t="n">
        <x:v>0.05</x:v>
      </x:c>
      <x:c r="T182" s="36" t="n">
        <x:v>85.41</x:v>
      </x:c>
      <x:c r="U182" s="36" t="n">
        <x:v>89.9</x:v>
      </x:c>
      <x:c r="V182" s="36" t="n">
        <x:v>4.49</x:v>
      </x:c>
      <x:c r="W182" s="36" t="n">
        <x:v>85.41</x:v>
      </x:c>
      <x:c r="X182" s="36" t="n">
        <x:v>48</x:v>
      </x:c>
      <x:c r="Y182" s="36" t="n">
        <x:v>37.41</x:v>
      </x:c>
      <x:c r="Z182" s="38" t="n">
        <x:v>0.438</x:v>
      </x:c>
      <x:c r="AA182" s="36" t="n">
        <x:v>38.55</x:v>
      </x:c>
      <x:c r="AB182" s="34" t="n">
        <x:v>3</x:v>
      </x:c>
      <x:c r="AC182" t="str"/>
    </x:row>
    <x:row r="183">
      <x:c r="A183" s="34" t="n">
        <x:v>182</x:v>
      </x:c>
      <x:c r="B183" s="34" t="n">
        <x:v>111</x:v>
      </x:c>
      <x:c r="C183" s="32" t="n">
        <x:v>46037</x:v>
      </x:c>
      <x:c r="D183" t="str">
        <x:v>2026-01</x:v>
      </x:c>
      <x:c r="E183" s="34" t="n">
        <x:v>45</x:v>
      </x:c>
      <x:c r="F183" t="str">
        <x:v>Nicolas Costa</x:v>
      </x:c>
      <x:c r="G183" t="str">
        <x:v>PR</x:v>
      </x:c>
      <x:c r="H183" t="str">
        <x:v>Maringá</x:v>
      </x:c>
      <x:c r="I183" s="34" t="n">
        <x:v>45</x:v>
      </x:c>
      <x:c r="J183" t="str">
        <x:v>ENVIADO</x:v>
      </x:c>
      <x:c r="K183" t="str">
        <x:v>Indicação</x:v>
      </x:c>
      <x:c r="L183" t="str">
        <x:v>Boleto</x:v>
      </x:c>
      <x:c r="M183" s="34" t="n">
        <x:v>9</x:v>
      </x:c>
      <x:c r="N183" t="str">
        <x:v>SSD 240GB SATA</x:v>
      </x:c>
      <x:c r="O183" t="str">
        <x:v>Armazenamento</x:v>
      </x:c>
      <x:c r="P183" t="str">
        <x:v>Mega Componentes</x:v>
      </x:c>
      <x:c r="Q183" s="34" t="n">
        <x:v>1</x:v>
      </x:c>
      <x:c r="R183" s="36" t="n">
        <x:v>169.9</x:v>
      </x:c>
      <x:c r="S183" s="38" t="n">
        <x:v>0.05</x:v>
      </x:c>
      <x:c r="T183" s="36" t="n">
        <x:v>161.41</x:v>
      </x:c>
      <x:c r="U183" s="36" t="n">
        <x:v>169.9</x:v>
      </x:c>
      <x:c r="V183" s="36" t="n">
        <x:v>8.49</x:v>
      </x:c>
      <x:c r="W183" s="36" t="n">
        <x:v>161.41</x:v>
      </x:c>
      <x:c r="X183" s="36" t="n">
        <x:v>98</x:v>
      </x:c>
      <x:c r="Y183" s="36" t="n">
        <x:v>63.41</x:v>
      </x:c>
      <x:c r="Z183" s="38" t="n">
        <x:v>0.3929</x:v>
      </x:c>
      <x:c r="AA183" s="36" t="n">
        <x:v>20.01</x:v>
      </x:c>
      <x:c r="AB183" s="34" t="n">
        <x:v>5</x:v>
      </x:c>
      <x:c r="AC183" t="str"/>
    </x:row>
    <x:row r="184">
      <x:c r="A184" s="34" t="n">
        <x:v>183</x:v>
      </x:c>
      <x:c r="B184" s="34" t="n">
        <x:v>111</x:v>
      </x:c>
      <x:c r="C184" s="32" t="n">
        <x:v>46037</x:v>
      </x:c>
      <x:c r="D184" t="str">
        <x:v>2026-01</x:v>
      </x:c>
      <x:c r="E184" s="34" t="n">
        <x:v>45</x:v>
      </x:c>
      <x:c r="F184" t="str">
        <x:v>Nicolas Costa</x:v>
      </x:c>
      <x:c r="G184" t="str">
        <x:v>PR</x:v>
      </x:c>
      <x:c r="H184" t="str">
        <x:v>Maringá</x:v>
      </x:c>
      <x:c r="I184" s="34" t="n">
        <x:v>45</x:v>
      </x:c>
      <x:c r="J184" t="str">
        <x:v>ENVIADO</x:v>
      </x:c>
      <x:c r="K184" t="str">
        <x:v>Indicação</x:v>
      </x:c>
      <x:c r="L184" t="str">
        <x:v>Boleto</x:v>
      </x:c>
      <x:c r="M184" s="34" t="n">
        <x:v>28</x:v>
      </x:c>
      <x:c r="N184" t="str">
        <x:v>Repetidor Wi-Fi</x:v>
      </x:c>
      <x:c r="O184" t="str">
        <x:v>Rede</x:v>
      </x:c>
      <x:c r="P184" t="str">
        <x:v>Connect Rede</x:v>
      </x:c>
      <x:c r="Q184" s="34" t="n">
        <x:v>1</x:v>
      </x:c>
      <x:c r="R184" s="36" t="n">
        <x:v>139.9</x:v>
      </x:c>
      <x:c r="S184" s="38" t="n">
        <x:v>0</x:v>
      </x:c>
      <x:c r="T184" s="36" t="n">
        <x:v>139.9</x:v>
      </x:c>
      <x:c r="U184" s="36" t="n">
        <x:v>139.9</x:v>
      </x:c>
      <x:c r="V184" s="36" t="n">
        <x:v>0</x:v>
      </x:c>
      <x:c r="W184" s="36" t="n">
        <x:v>139.9</x:v>
      </x:c>
      <x:c r="X184" s="36" t="n">
        <x:v>69</x:v>
      </x:c>
      <x:c r="Y184" s="36" t="n">
        <x:v>70.9</x:v>
      </x:c>
      <x:c r="Z184" s="38" t="n">
        <x:v>0.5068</x:v>
      </x:c>
      <x:c r="AA184" s="36" t="n">
        <x:v>20.01</x:v>
      </x:c>
      <x:c r="AB184" s="34" t="n">
        <x:v>5</x:v>
      </x:c>
      <x:c r="AC184" t="str"/>
    </x:row>
    <x:row r="185">
      <x:c r="A185" s="34" t="n">
        <x:v>184</x:v>
      </x:c>
      <x:c r="B185" s="34" t="n">
        <x:v>112</x:v>
      </x:c>
      <x:c r="C185" s="32" t="n">
        <x:v>46054</x:v>
      </x:c>
      <x:c r="D185" t="str">
        <x:v>2026-02</x:v>
      </x:c>
      <x:c r="E185" s="34" t="n">
        <x:v>32</x:v>
      </x:c>
      <x:c r="F185" t="str">
        <x:v>Caio Gomes</x:v>
      </x:c>
      <x:c r="G185" t="str">
        <x:v>SP</x:v>
      </x:c>
      <x:c r="H185" t="str">
        <x:v>Mirassol</x:v>
      </x:c>
      <x:c r="I185" s="34" t="n">
        <x:v>22</x:v>
      </x:c>
      <x:c r="J185" t="str">
        <x:v>CANCELADO</x:v>
      </x:c>
      <x:c r="K185" t="str">
        <x:v>Site</x:v>
      </x:c>
      <x:c r="L185" t="str">
        <x:v>Pix</x:v>
      </x:c>
      <x:c r="M185" s="34" t="n">
        <x:v>10</x:v>
      </x:c>
      <x:c r="N185" t="str">
        <x:v>SSD 480GB SATA</x:v>
      </x:c>
      <x:c r="O185" t="str">
        <x:v>Armazenamento</x:v>
      </x:c>
      <x:c r="P185" t="str">
        <x:v>Mega Componentes</x:v>
      </x:c>
      <x:c r="Q185" s="34" t="n">
        <x:v>1</x:v>
      </x:c>
      <x:c r="R185" s="36" t="n">
        <x:v>259.9</x:v>
      </x:c>
      <x:c r="S185" s="38" t="n">
        <x:v>0</x:v>
      </x:c>
      <x:c r="T185" s="36" t="n">
        <x:v>259.9</x:v>
      </x:c>
      <x:c r="U185" s="36" t="n">
        <x:v>259.9</x:v>
      </x:c>
      <x:c r="V185" s="36" t="n">
        <x:v>0</x:v>
      </x:c>
      <x:c r="W185" s="36" t="n">
        <x:v>0</x:v>
      </x:c>
      <x:c r="X185" s="36" t="n">
        <x:v>158</x:v>
      </x:c>
      <x:c r="Y185" s="36" t="n">
        <x:v>0</x:v>
      </x:c>
      <x:c r="Z185" s="38" t="n">
        <x:v>0</x:v>
      </x:c>
      <x:c r="AA185" s="36" t="n">
        <x:v>21.09</x:v>
      </x:c>
      <x:c r="AB185" s="34"/>
      <x:c r="AC185" t="str">
        <x:v>Produto indisponível</x:v>
      </x:c>
    </x:row>
    <x:row r="186">
      <x:c r="A186" s="34" t="n">
        <x:v>185</x:v>
      </x:c>
      <x:c r="B186" s="34" t="n">
        <x:v>113</x:v>
      </x:c>
      <x:c r="C186" s="32" t="n">
        <x:v>46095</x:v>
      </x:c>
      <x:c r="D186" t="str">
        <x:v>2026-03</x:v>
      </x:c>
      <x:c r="E186" s="34" t="n">
        <x:v>25</x:v>
      </x:c>
      <x:c r="F186" t="str">
        <x:v>Renan Carvalho</x:v>
      </x:c>
      <x:c r="G186" t="str">
        <x:v>MG</x:v>
      </x:c>
      <x:c r="H186" t="str">
        <x:v>Uberaba</x:v>
      </x:c>
      <x:c r="I186" s="34" t="n">
        <x:v>59</x:v>
      </x:c>
      <x:c r="J186" t="str">
        <x:v>ENTREGUE</x:v>
      </x:c>
      <x:c r="K186" t="str">
        <x:v>Site</x:v>
      </x:c>
      <x:c r="L186" t="str">
        <x:v>Pix</x:v>
      </x:c>
      <x:c r="M186" s="34" t="n">
        <x:v>13</x:v>
      </x:c>
      <x:c r="N186" t="str">
        <x:v>Memória RAM 8GB DDR4</x:v>
      </x:c>
      <x:c r="O186" t="str">
        <x:v>Componentes</x:v>
      </x:c>
      <x:c r="P186" t="str">
        <x:v>Mega Componentes</x:v>
      </x:c>
      <x:c r="Q186" s="34" t="n">
        <x:v>1</x:v>
      </x:c>
      <x:c r="R186" s="36" t="n">
        <x:v>179.9</x:v>
      </x:c>
      <x:c r="S186" s="38" t="n">
        <x:v>0</x:v>
      </x:c>
      <x:c r="T186" s="36" t="n">
        <x:v>179.9</x:v>
      </x:c>
      <x:c r="U186" s="36" t="n">
        <x:v>179.9</x:v>
      </x:c>
      <x:c r="V186" s="36" t="n">
        <x:v>0</x:v>
      </x:c>
      <x:c r="W186" s="36" t="n">
        <x:v>179.9</x:v>
      </x:c>
      <x:c r="X186" s="36" t="n">
        <x:v>107</x:v>
      </x:c>
      <x:c r="Y186" s="36" t="n">
        <x:v>72.9</x:v>
      </x:c>
      <x:c r="Z186" s="38" t="n">
        <x:v>0.4052</x:v>
      </x:c>
      <x:c r="AA186" s="36" t="n">
        <x:v>25.47</x:v>
      </x:c>
      <x:c r="AB186" s="34" t="n">
        <x:v>4</x:v>
      </x:c>
      <x:c r="AC186" t="str"/>
    </x:row>
    <x:row r="187">
      <x:c r="A187" s="34" t="n">
        <x:v>186</x:v>
      </x:c>
      <x:c r="B187" s="34" t="n">
        <x:v>113</x:v>
      </x:c>
      <x:c r="C187" s="32" t="n">
        <x:v>46095</x:v>
      </x:c>
      <x:c r="D187" t="str">
        <x:v>2026-03</x:v>
      </x:c>
      <x:c r="E187" s="34" t="n">
        <x:v>25</x:v>
      </x:c>
      <x:c r="F187" t="str">
        <x:v>Renan Carvalho</x:v>
      </x:c>
      <x:c r="G187" t="str">
        <x:v>MG</x:v>
      </x:c>
      <x:c r="H187" t="str">
        <x:v>Uberaba</x:v>
      </x:c>
      <x:c r="I187" s="34" t="n">
        <x:v>59</x:v>
      </x:c>
      <x:c r="J187" t="str">
        <x:v>ENTREGUE</x:v>
      </x:c>
      <x:c r="K187" t="str">
        <x:v>Site</x:v>
      </x:c>
      <x:c r="L187" t="str">
        <x:v>Pix</x:v>
      </x:c>
      <x:c r="M187" s="34" t="n">
        <x:v>18</x:v>
      </x:c>
      <x:c r="N187" t="str">
        <x:v>Cooler para Processador</x:v>
      </x:c>
      <x:c r="O187" t="str">
        <x:v>Componentes</x:v>
      </x:c>
      <x:c r="P187" t="str">
        <x:v>Mega Componentes</x:v>
      </x:c>
      <x:c r="Q187" s="34" t="n">
        <x:v>1</x:v>
      </x:c>
      <x:c r="R187" s="36" t="n">
        <x:v>99.9</x:v>
      </x:c>
      <x:c r="S187" s="38" t="n">
        <x:v>0.03</x:v>
      </x:c>
      <x:c r="T187" s="36" t="n">
        <x:v>96.9</x:v>
      </x:c>
      <x:c r="U187" s="36" t="n">
        <x:v>99.9</x:v>
      </x:c>
      <x:c r="V187" s="36" t="n">
        <x:v>3</x:v>
      </x:c>
      <x:c r="W187" s="36" t="n">
        <x:v>96.9</x:v>
      </x:c>
      <x:c r="X187" s="36" t="n">
        <x:v>46</x:v>
      </x:c>
      <x:c r="Y187" s="36" t="n">
        <x:v>50.9</x:v>
      </x:c>
      <x:c r="Z187" s="38" t="n">
        <x:v>0.5253</x:v>
      </x:c>
      <x:c r="AA187" s="36" t="n">
        <x:v>25.47</x:v>
      </x:c>
      <x:c r="AB187" s="34" t="n">
        <x:v>4</x:v>
      </x:c>
      <x:c r="AC187" t="str"/>
    </x:row>
    <x:row r="188">
      <x:c r="A188" s="34" t="n">
        <x:v>187</x:v>
      </x:c>
      <x:c r="B188" s="34" t="n">
        <x:v>114</x:v>
      </x:c>
      <x:c r="C188" s="32" t="n">
        <x:v>46175</x:v>
      </x:c>
      <x:c r="D188" t="str">
        <x:v>2026-06</x:v>
      </x:c>
      <x:c r="E188" s="34" t="n">
        <x:v>2</x:v>
      </x:c>
      <x:c r="F188" t="str">
        <x:v>Beatriz Costa</x:v>
      </x:c>
      <x:c r="G188" t="str">
        <x:v>SP</x:v>
      </x:c>
      <x:c r="H188" t="str">
        <x:v>Votuporanga</x:v>
      </x:c>
      <x:c r="I188" s="34" t="n">
        <x:v>24</x:v>
      </x:c>
      <x:c r="J188" t="str">
        <x:v>ENVIADO</x:v>
      </x:c>
      <x:c r="K188" t="str">
        <x:v>Instagram</x:v>
      </x:c>
      <x:c r="L188" t="str">
        <x:v>Cartão crédito</x:v>
      </x:c>
      <x:c r="M188" s="34" t="n">
        <x:v>11</x:v>
      </x:c>
      <x:c r="N188" t="str">
        <x:v>SSD NVMe 500GB</x:v>
      </x:c>
      <x:c r="O188" t="str">
        <x:v>Armazenamento</x:v>
      </x:c>
      <x:c r="P188" t="str">
        <x:v>FastHardware</x:v>
      </x:c>
      <x:c r="Q188" s="34" t="n">
        <x:v>2</x:v>
      </x:c>
      <x:c r="R188" s="36" t="n">
        <x:v>329.9</x:v>
      </x:c>
      <x:c r="S188" s="38" t="n">
        <x:v>0.05</x:v>
      </x:c>
      <x:c r="T188" s="36" t="n">
        <x:v>313.4</x:v>
      </x:c>
      <x:c r="U188" s="36" t="n">
        <x:v>659.8</x:v>
      </x:c>
      <x:c r="V188" s="36" t="n">
        <x:v>33</x:v>
      </x:c>
      <x:c r="W188" s="36" t="n">
        <x:v>626.8</x:v>
      </x:c>
      <x:c r="X188" s="36" t="n">
        <x:v>410</x:v>
      </x:c>
      <x:c r="Y188" s="36" t="n">
        <x:v>216.8</x:v>
      </x:c>
      <x:c r="Z188" s="38" t="n">
        <x:v>0.3459</x:v>
      </x:c>
      <x:c r="AA188" s="36" t="n">
        <x:v>43.47</x:v>
      </x:c>
      <x:c r="AB188" s="34" t="n">
        <x:v>3</x:v>
      </x:c>
      <x:c r="AC188" t="str"/>
    </x:row>
    <x:row r="189">
      <x:c r="A189" s="34" t="n">
        <x:v>188</x:v>
      </x:c>
      <x:c r="B189" s="34" t="n">
        <x:v>115</x:v>
      </x:c>
      <x:c r="C189" s="32" t="n">
        <x:v>46177</x:v>
      </x:c>
      <x:c r="D189" t="str">
        <x:v>2026-06</x:v>
      </x:c>
      <x:c r="E189" s="34" t="n">
        <x:v>16</x:v>
      </x:c>
      <x:c r="F189" t="str">
        <x:v>Larissa Martins</x:v>
      </x:c>
      <x:c r="G189" t="str">
        <x:v>SP</x:v>
      </x:c>
      <x:c r="H189" t="str">
        <x:v>São José do Rio Preto</x:v>
      </x:c>
      <x:c r="I189" s="34" t="n">
        <x:v>33</x:v>
      </x:c>
      <x:c r="J189" t="str">
        <x:v>ENTREGUE</x:v>
      </x:c>
      <x:c r="K189" t="str">
        <x:v>WhatsApp</x:v>
      </x:c>
      <x:c r="L189" t="str">
        <x:v>Cartão crédito</x:v>
      </x:c>
      <x:c r="M189" s="34" t="n">
        <x:v>3</x:v>
      </x:c>
      <x:c r="N189" t="str">
        <x:v>Headset Gamer P2</x:v>
      </x:c>
      <x:c r="O189" t="str">
        <x:v>Periféricos</x:v>
      </x:c>
      <x:c r="P189" t="str">
        <x:v>FastHardware</x:v>
      </x:c>
      <x:c r="Q189" s="34" t="n">
        <x:v>1</x:v>
      </x:c>
      <x:c r="R189" s="36" t="n">
        <x:v>159.9</x:v>
      </x:c>
      <x:c r="S189" s="38" t="n">
        <x:v>0</x:v>
      </x:c>
      <x:c r="T189" s="36" t="n">
        <x:v>159.9</x:v>
      </x:c>
      <x:c r="U189" s="36" t="n">
        <x:v>159.9</x:v>
      </x:c>
      <x:c r="V189" s="36" t="n">
        <x:v>0</x:v>
      </x:c>
      <x:c r="W189" s="36" t="n">
        <x:v>159.9</x:v>
      </x:c>
      <x:c r="X189" s="36" t="n">
        <x:v>84</x:v>
      </x:c>
      <x:c r="Y189" s="36" t="n">
        <x:v>75.9</x:v>
      </x:c>
      <x:c r="Z189" s="38" t="n">
        <x:v>0.4747</x:v>
      </x:c>
      <x:c r="AA189" s="36" t="n">
        <x:v>30.45</x:v>
      </x:c>
      <x:c r="AB189" s="34" t="n">
        <x:v>6</x:v>
      </x:c>
      <x:c r="AC189" t="str"/>
    </x:row>
    <x:row r="190">
      <x:c r="A190" s="34" t="n">
        <x:v>189</x:v>
      </x:c>
      <x:c r="B190" s="34" t="n">
        <x:v>115</x:v>
      </x:c>
      <x:c r="C190" s="32" t="n">
        <x:v>46177</x:v>
      </x:c>
      <x:c r="D190" t="str">
        <x:v>2026-06</x:v>
      </x:c>
      <x:c r="E190" s="34" t="n">
        <x:v>16</x:v>
      </x:c>
      <x:c r="F190" t="str">
        <x:v>Larissa Martins</x:v>
      </x:c>
      <x:c r="G190" t="str">
        <x:v>SP</x:v>
      </x:c>
      <x:c r="H190" t="str">
        <x:v>São José do Rio Preto</x:v>
      </x:c>
      <x:c r="I190" s="34" t="n">
        <x:v>33</x:v>
      </x:c>
      <x:c r="J190" t="str">
        <x:v>ENTREGUE</x:v>
      </x:c>
      <x:c r="K190" t="str">
        <x:v>WhatsApp</x:v>
      </x:c>
      <x:c r="L190" t="str">
        <x:v>Cartão crédito</x:v>
      </x:c>
      <x:c r="M190" s="34" t="n">
        <x:v>6</x:v>
      </x:c>
      <x:c r="N190" t="str">
        <x:v>Cabo HDMI 2m</x:v>
      </x:c>
      <x:c r="O190" t="str">
        <x:v>Acessórios</x:v>
      </x:c>
      <x:c r="P190" t="str">
        <x:v>Prime Eletrônicos</x:v>
      </x:c>
      <x:c r="Q190" s="34" t="n">
        <x:v>1</x:v>
      </x:c>
      <x:c r="R190" s="36" t="n">
        <x:v>29.9</x:v>
      </x:c>
      <x:c r="S190" s="38" t="n">
        <x:v>0</x:v>
      </x:c>
      <x:c r="T190" s="36" t="n">
        <x:v>29.9</x:v>
      </x:c>
      <x:c r="U190" s="36" t="n">
        <x:v>29.9</x:v>
      </x:c>
      <x:c r="V190" s="36" t="n">
        <x:v>0</x:v>
      </x:c>
      <x:c r="W190" s="36" t="n">
        <x:v>29.9</x:v>
      </x:c>
      <x:c r="X190" s="36" t="n">
        <x:v>10</x:v>
      </x:c>
      <x:c r="Y190" s="36" t="n">
        <x:v>19.9</x:v>
      </x:c>
      <x:c r="Z190" s="38" t="n">
        <x:v>0.6656</x:v>
      </x:c>
      <x:c r="AA190" s="36" t="n">
        <x:v>30.45</x:v>
      </x:c>
      <x:c r="AB190" s="34" t="n">
        <x:v>6</x:v>
      </x:c>
      <x:c r="AC190" t="str"/>
    </x:row>
    <x:row r="191">
      <x:c r="A191" s="34" t="n">
        <x:v>190</x:v>
      </x:c>
      <x:c r="B191" s="34" t="n">
        <x:v>116</x:v>
      </x:c>
      <x:c r="C191" s="32" t="n">
        <x:v>46168</x:v>
      </x:c>
      <x:c r="D191" t="str">
        <x:v>2026-05</x:v>
      </x:c>
      <x:c r="E191" s="34" t="n">
        <x:v>39</x:v>
      </x:c>
      <x:c r="F191" t="str">
        <x:v>Eduarda Silva</x:v>
      </x:c>
      <x:c r="G191" t="str">
        <x:v>SP</x:v>
      </x:c>
      <x:c r="H191" t="str">
        <x:v>São José do Rio Preto</x:v>
      </x:c>
      <x:c r="I191" s="34" t="n">
        <x:v>40</x:v>
      </x:c>
      <x:c r="J191" t="str">
        <x:v>ENTREGUE</x:v>
      </x:c>
      <x:c r="K191" t="str">
        <x:v>Indicação</x:v>
      </x:c>
      <x:c r="L191" t="str">
        <x:v>Cartão crédito</x:v>
      </x:c>
      <x:c r="M191" s="34" t="n">
        <x:v>8</x:v>
      </x:c>
      <x:c r="N191" t="str">
        <x:v>Suporte Articulado para Monitor</x:v>
      </x:c>
      <x:c r="O191" t="str">
        <x:v>Acessórios</x:v>
      </x:c>
      <x:c r="P191" t="str">
        <x:v>OfficeTech Supply</x:v>
      </x:c>
      <x:c r="Q191" s="34" t="n">
        <x:v>1</x:v>
      </x:c>
      <x:c r="R191" s="36" t="n">
        <x:v>149.9</x:v>
      </x:c>
      <x:c r="S191" s="38" t="n">
        <x:v>0.08</x:v>
      </x:c>
      <x:c r="T191" s="36" t="n">
        <x:v>137.91</x:v>
      </x:c>
      <x:c r="U191" s="36" t="n">
        <x:v>149.9</x:v>
      </x:c>
      <x:c r="V191" s="36" t="n">
        <x:v>11.99</x:v>
      </x:c>
      <x:c r="W191" s="36" t="n">
        <x:v>137.91</x:v>
      </x:c>
      <x:c r="X191" s="36" t="n">
        <x:v>73</x:v>
      </x:c>
      <x:c r="Y191" s="36" t="n">
        <x:v>64.91</x:v>
      </x:c>
      <x:c r="Z191" s="38" t="n">
        <x:v>0.4707</x:v>
      </x:c>
      <x:c r="AA191" s="36" t="n">
        <x:v>37.38</x:v>
      </x:c>
      <x:c r="AB191" s="34" t="n">
        <x:v>2</x:v>
      </x:c>
      <x:c r="AC191" t="str"/>
    </x:row>
    <x:row r="192">
      <x:c r="A192" s="34" t="n">
        <x:v>191</x:v>
      </x:c>
      <x:c r="B192" s="34" t="n">
        <x:v>116</x:v>
      </x:c>
      <x:c r="C192" s="32" t="n">
        <x:v>46168</x:v>
      </x:c>
      <x:c r="D192" t="str">
        <x:v>2026-05</x:v>
      </x:c>
      <x:c r="E192" s="34" t="n">
        <x:v>39</x:v>
      </x:c>
      <x:c r="F192" t="str">
        <x:v>Eduarda Silva</x:v>
      </x:c>
      <x:c r="G192" t="str">
        <x:v>SP</x:v>
      </x:c>
      <x:c r="H192" t="str">
        <x:v>São José do Rio Preto</x:v>
      </x:c>
      <x:c r="I192" s="34" t="n">
        <x:v>40</x:v>
      </x:c>
      <x:c r="J192" t="str">
        <x:v>ENTREGUE</x:v>
      </x:c>
      <x:c r="K192" t="str">
        <x:v>Indicação</x:v>
      </x:c>
      <x:c r="L192" t="str">
        <x:v>Cartão crédito</x:v>
      </x:c>
      <x:c r="M192" s="34" t="n">
        <x:v>3</x:v>
      </x:c>
      <x:c r="N192" t="str">
        <x:v>Headset Gamer P2</x:v>
      </x:c>
      <x:c r="O192" t="str">
        <x:v>Periféricos</x:v>
      </x:c>
      <x:c r="P192" t="str">
        <x:v>FastHardware</x:v>
      </x:c>
      <x:c r="Q192" s="34" t="n">
        <x:v>1</x:v>
      </x:c>
      <x:c r="R192" s="36" t="n">
        <x:v>159.9</x:v>
      </x:c>
      <x:c r="S192" s="38" t="n">
        <x:v>0.03</x:v>
      </x:c>
      <x:c r="T192" s="36" t="n">
        <x:v>155.1</x:v>
      </x:c>
      <x:c r="U192" s="36" t="n">
        <x:v>159.9</x:v>
      </x:c>
      <x:c r="V192" s="36" t="n">
        <x:v>4.8</x:v>
      </x:c>
      <x:c r="W192" s="36" t="n">
        <x:v>155.1</x:v>
      </x:c>
      <x:c r="X192" s="36" t="n">
        <x:v>84</x:v>
      </x:c>
      <x:c r="Y192" s="36" t="n">
        <x:v>71.1</x:v>
      </x:c>
      <x:c r="Z192" s="38" t="n">
        <x:v>0.4584</x:v>
      </x:c>
      <x:c r="AA192" s="36" t="n">
        <x:v>37.38</x:v>
      </x:c>
      <x:c r="AB192" s="34" t="n">
        <x:v>2</x:v>
      </x:c>
      <x:c r="AC192" t="str"/>
    </x:row>
    <x:row r="193">
      <x:c r="A193" s="34" t="n">
        <x:v>192</x:v>
      </x:c>
      <x:c r="B193" s="34" t="n">
        <x:v>117</x:v>
      </x:c>
      <x:c r="C193" s="32" t="n">
        <x:v>46064</x:v>
      </x:c>
      <x:c r="D193" t="str">
        <x:v>2026-02</x:v>
      </x:c>
      <x:c r="E193" s="34" t="n">
        <x:v>39</x:v>
      </x:c>
      <x:c r="F193" t="str">
        <x:v>Eduarda Silva</x:v>
      </x:c>
      <x:c r="G193" t="str">
        <x:v>SP</x:v>
      </x:c>
      <x:c r="H193" t="str">
        <x:v>São José do Rio Preto</x:v>
      </x:c>
      <x:c r="I193" s="34" t="n">
        <x:v>40</x:v>
      </x:c>
      <x:c r="J193" t="str">
        <x:v>ENTREGUE</x:v>
      </x:c>
      <x:c r="K193" t="str">
        <x:v>Site</x:v>
      </x:c>
      <x:c r="L193" t="str">
        <x:v>Cartão crédito</x:v>
      </x:c>
      <x:c r="M193" s="34" t="n">
        <x:v>4</x:v>
      </x:c>
      <x:c r="N193" t="str">
        <x:v>Webcam Full HD</x:v>
      </x:c>
      <x:c r="O193" t="str">
        <x:v>Periféricos</x:v>
      </x:c>
      <x:c r="P193" t="str">
        <x:v>Prime Eletrônicos</x:v>
      </x:c>
      <x:c r="Q193" s="34" t="n">
        <x:v>1</x:v>
      </x:c>
      <x:c r="R193" s="36" t="n">
        <x:v>199.9</x:v>
      </x:c>
      <x:c r="S193" s="38" t="n">
        <x:v>0.03</x:v>
      </x:c>
      <x:c r="T193" s="36" t="n">
        <x:v>193.9</x:v>
      </x:c>
      <x:c r="U193" s="36" t="n">
        <x:v>199.9</x:v>
      </x:c>
      <x:c r="V193" s="36" t="n">
        <x:v>6</x:v>
      </x:c>
      <x:c r="W193" s="36" t="n">
        <x:v>193.9</x:v>
      </x:c>
      <x:c r="X193" s="36" t="n">
        <x:v>112</x:v>
      </x:c>
      <x:c r="Y193" s="36" t="n">
        <x:v>81.9</x:v>
      </x:c>
      <x:c r="Z193" s="38" t="n">
        <x:v>0.4224</x:v>
      </x:c>
      <x:c r="AA193" s="36" t="n">
        <x:v>49.73</x:v>
      </x:c>
      <x:c r="AB193" s="34" t="n">
        <x:v>2</x:v>
      </x:c>
      <x:c r="AC193" t="str"/>
    </x:row>
    <x:row r="194">
      <x:c r="A194" s="34" t="n">
        <x:v>193</x:v>
      </x:c>
      <x:c r="B194" s="34" t="n">
        <x:v>117</x:v>
      </x:c>
      <x:c r="C194" s="32" t="n">
        <x:v>46064</x:v>
      </x:c>
      <x:c r="D194" t="str">
        <x:v>2026-02</x:v>
      </x:c>
      <x:c r="E194" s="34" t="n">
        <x:v>39</x:v>
      </x:c>
      <x:c r="F194" t="str">
        <x:v>Eduarda Silva</x:v>
      </x:c>
      <x:c r="G194" t="str">
        <x:v>SP</x:v>
      </x:c>
      <x:c r="H194" t="str">
        <x:v>São José do Rio Preto</x:v>
      </x:c>
      <x:c r="I194" s="34" t="n">
        <x:v>40</x:v>
      </x:c>
      <x:c r="J194" t="str">
        <x:v>ENTREGUE</x:v>
      </x:c>
      <x:c r="K194" t="str">
        <x:v>Site</x:v>
      </x:c>
      <x:c r="L194" t="str">
        <x:v>Cartão crédito</x:v>
      </x:c>
      <x:c r="M194" s="34" t="n">
        <x:v>6</x:v>
      </x:c>
      <x:c r="N194" t="str">
        <x:v>Cabo HDMI 2m</x:v>
      </x:c>
      <x:c r="O194" t="str">
        <x:v>Acessórios</x:v>
      </x:c>
      <x:c r="P194" t="str">
        <x:v>Prime Eletrônicos</x:v>
      </x:c>
      <x:c r="Q194" s="34" t="n">
        <x:v>2</x:v>
      </x:c>
      <x:c r="R194" s="36" t="n">
        <x:v>29.9</x:v>
      </x:c>
      <x:c r="S194" s="38" t="n">
        <x:v>0.03</x:v>
      </x:c>
      <x:c r="T194" s="36" t="n">
        <x:v>29</x:v>
      </x:c>
      <x:c r="U194" s="36" t="n">
        <x:v>59.8</x:v>
      </x:c>
      <x:c r="V194" s="36" t="n">
        <x:v>1.8</x:v>
      </x:c>
      <x:c r="W194" s="36" t="n">
        <x:v>58</x:v>
      </x:c>
      <x:c r="X194" s="36" t="n">
        <x:v>20</x:v>
      </x:c>
      <x:c r="Y194" s="36" t="n">
        <x:v>38</x:v>
      </x:c>
      <x:c r="Z194" s="38" t="n">
        <x:v>0.6552</x:v>
      </x:c>
      <x:c r="AA194" s="36" t="n">
        <x:v>49.73</x:v>
      </x:c>
      <x:c r="AB194" s="34" t="n">
        <x:v>2</x:v>
      </x:c>
      <x:c r="AC194" t="str"/>
    </x:row>
    <x:row r="195">
      <x:c r="A195" s="34" t="n">
        <x:v>194</x:v>
      </x:c>
      <x:c r="B195" s="34" t="n">
        <x:v>117</x:v>
      </x:c>
      <x:c r="C195" s="32" t="n">
        <x:v>46064</x:v>
      </x:c>
      <x:c r="D195" t="str">
        <x:v>2026-02</x:v>
      </x:c>
      <x:c r="E195" s="34" t="n">
        <x:v>39</x:v>
      </x:c>
      <x:c r="F195" t="str">
        <x:v>Eduarda Silva</x:v>
      </x:c>
      <x:c r="G195" t="str">
        <x:v>SP</x:v>
      </x:c>
      <x:c r="H195" t="str">
        <x:v>São José do Rio Preto</x:v>
      </x:c>
      <x:c r="I195" s="34" t="n">
        <x:v>40</x:v>
      </x:c>
      <x:c r="J195" t="str">
        <x:v>ENTREGUE</x:v>
      </x:c>
      <x:c r="K195" t="str">
        <x:v>Site</x:v>
      </x:c>
      <x:c r="L195" t="str">
        <x:v>Cartão crédito</x:v>
      </x:c>
      <x:c r="M195" s="34" t="n">
        <x:v>28</x:v>
      </x:c>
      <x:c r="N195" t="str">
        <x:v>Repetidor Wi-Fi</x:v>
      </x:c>
      <x:c r="O195" t="str">
        <x:v>Rede</x:v>
      </x:c>
      <x:c r="P195" t="str">
        <x:v>Connect Rede</x:v>
      </x:c>
      <x:c r="Q195" s="34" t="n">
        <x:v>1</x:v>
      </x:c>
      <x:c r="R195" s="36" t="n">
        <x:v>139.9</x:v>
      </x:c>
      <x:c r="S195" s="38" t="n">
        <x:v>0.03</x:v>
      </x:c>
      <x:c r="T195" s="36" t="n">
        <x:v>135.7</x:v>
      </x:c>
      <x:c r="U195" s="36" t="n">
        <x:v>139.9</x:v>
      </x:c>
      <x:c r="V195" s="36" t="n">
        <x:v>4.2</x:v>
      </x:c>
      <x:c r="W195" s="36" t="n">
        <x:v>135.7</x:v>
      </x:c>
      <x:c r="X195" s="36" t="n">
        <x:v>69</x:v>
      </x:c>
      <x:c r="Y195" s="36" t="n">
        <x:v>66.7</x:v>
      </x:c>
      <x:c r="Z195" s="38" t="n">
        <x:v>0.4915</x:v>
      </x:c>
      <x:c r="AA195" s="36" t="n">
        <x:v>49.73</x:v>
      </x:c>
      <x:c r="AB195" s="34" t="n">
        <x:v>2</x:v>
      </x:c>
      <x:c r="AC195" t="str"/>
    </x:row>
    <x:row r="196">
      <x:c r="A196" s="34" t="n">
        <x:v>195</x:v>
      </x:c>
      <x:c r="B196" s="34" t="n">
        <x:v>117</x:v>
      </x:c>
      <x:c r="C196" s="32" t="n">
        <x:v>46064</x:v>
      </x:c>
      <x:c r="D196" t="str">
        <x:v>2026-02</x:v>
      </x:c>
      <x:c r="E196" s="34" t="n">
        <x:v>39</x:v>
      </x:c>
      <x:c r="F196" t="str">
        <x:v>Eduarda Silva</x:v>
      </x:c>
      <x:c r="G196" t="str">
        <x:v>SP</x:v>
      </x:c>
      <x:c r="H196" t="str">
        <x:v>São José do Rio Preto</x:v>
      </x:c>
      <x:c r="I196" s="34" t="n">
        <x:v>40</x:v>
      </x:c>
      <x:c r="J196" t="str">
        <x:v>ENTREGUE</x:v>
      </x:c>
      <x:c r="K196" t="str">
        <x:v>Site</x:v>
      </x:c>
      <x:c r="L196" t="str">
        <x:v>Cartão crédito</x:v>
      </x:c>
      <x:c r="M196" s="34" t="n">
        <x:v>5</x:v>
      </x:c>
      <x:c r="N196" t="str">
        <x:v>Mousepad Grande</x:v>
      </x:c>
      <x:c r="O196" t="str">
        <x:v>Acessórios</x:v>
      </x:c>
      <x:c r="P196" t="str">
        <x:v>Prime Eletrônicos</x:v>
      </x:c>
      <x:c r="Q196" s="34" t="n">
        <x:v>5</x:v>
      </x:c>
      <x:c r="R196" s="36" t="n">
        <x:v>39.9</x:v>
      </x:c>
      <x:c r="S196" s="38" t="n">
        <x:v>0</x:v>
      </x:c>
      <x:c r="T196" s="36" t="n">
        <x:v>39.9</x:v>
      </x:c>
      <x:c r="U196" s="36" t="n">
        <x:v>199.5</x:v>
      </x:c>
      <x:c r="V196" s="36" t="n">
        <x:v>0</x:v>
      </x:c>
      <x:c r="W196" s="36" t="n">
        <x:v>199.5</x:v>
      </x:c>
      <x:c r="X196" s="36" t="n">
        <x:v>85</x:v>
      </x:c>
      <x:c r="Y196" s="36" t="n">
        <x:v>114.5</x:v>
      </x:c>
      <x:c r="Z196" s="38" t="n">
        <x:v>0.5739</x:v>
      </x:c>
      <x:c r="AA196" s="36" t="n">
        <x:v>49.73</x:v>
      </x:c>
      <x:c r="AB196" s="34" t="n">
        <x:v>2</x:v>
      </x:c>
      <x:c r="AC196" t="str"/>
    </x:row>
    <x:row r="197">
      <x:c r="A197" s="34" t="n">
        <x:v>196</x:v>
      </x:c>
      <x:c r="B197" s="34" t="n">
        <x:v>118</x:v>
      </x:c>
      <x:c r="C197" s="32" t="n">
        <x:v>46036</x:v>
      </x:c>
      <x:c r="D197" t="str">
        <x:v>2026-01</x:v>
      </x:c>
      <x:c r="E197" s="34" t="n">
        <x:v>29</x:v>
      </x:c>
      <x:c r="F197" t="str">
        <x:v>Thiago Carvalho</x:v>
      </x:c>
      <x:c r="G197" t="str">
        <x:v>SP</x:v>
      </x:c>
      <x:c r="H197" t="str">
        <x:v>São José do Rio Preto</x:v>
      </x:c>
      <x:c r="I197" s="34" t="n">
        <x:v>50</x:v>
      </x:c>
      <x:c r="J197" t="str">
        <x:v>ENTREGUE</x:v>
      </x:c>
      <x:c r="K197" t="str">
        <x:v>Site</x:v>
      </x:c>
      <x:c r="L197" t="str">
        <x:v>Cartão crédito</x:v>
      </x:c>
      <x:c r="M197" s="34" t="n">
        <x:v>26</x:v>
      </x:c>
      <x:c r="N197" t="str">
        <x:v>Switch 8 Portas Gigabit</x:v>
      </x:c>
      <x:c r="O197" t="str">
        <x:v>Rede</x:v>
      </x:c>
      <x:c r="P197" t="str">
        <x:v>Connect Rede</x:v>
      </x:c>
      <x:c r="Q197" s="34" t="n">
        <x:v>1</x:v>
      </x:c>
      <x:c r="R197" s="36" t="n">
        <x:v>189.9</x:v>
      </x:c>
      <x:c r="S197" s="38" t="n">
        <x:v>0</x:v>
      </x:c>
      <x:c r="T197" s="36" t="n">
        <x:v>189.9</x:v>
      </x:c>
      <x:c r="U197" s="36" t="n">
        <x:v>189.9</x:v>
      </x:c>
      <x:c r="V197" s="36" t="n">
        <x:v>0</x:v>
      </x:c>
      <x:c r="W197" s="36" t="n">
        <x:v>189.9</x:v>
      </x:c>
      <x:c r="X197" s="36" t="n">
        <x:v>103</x:v>
      </x:c>
      <x:c r="Y197" s="36" t="n">
        <x:v>86.9</x:v>
      </x:c>
      <x:c r="Z197" s="38" t="n">
        <x:v>0.4576</x:v>
      </x:c>
      <x:c r="AA197" s="36" t="n">
        <x:v>48.81</x:v>
      </x:c>
      <x:c r="AB197" s="34" t="n">
        <x:v>4</x:v>
      </x:c>
      <x:c r="AC197" t="str"/>
    </x:row>
    <x:row r="198">
      <x:c r="A198" s="34" t="n">
        <x:v>197</x:v>
      </x:c>
      <x:c r="B198" s="34" t="n">
        <x:v>118</x:v>
      </x:c>
      <x:c r="C198" s="32" t="n">
        <x:v>46036</x:v>
      </x:c>
      <x:c r="D198" t="str">
        <x:v>2026-01</x:v>
      </x:c>
      <x:c r="E198" s="34" t="n">
        <x:v>29</x:v>
      </x:c>
      <x:c r="F198" t="str">
        <x:v>Thiago Carvalho</x:v>
      </x:c>
      <x:c r="G198" t="str">
        <x:v>SP</x:v>
      </x:c>
      <x:c r="H198" t="str">
        <x:v>São José do Rio Preto</x:v>
      </x:c>
      <x:c r="I198" s="34" t="n">
        <x:v>50</x:v>
      </x:c>
      <x:c r="J198" t="str">
        <x:v>ENTREGUE</x:v>
      </x:c>
      <x:c r="K198" t="str">
        <x:v>Site</x:v>
      </x:c>
      <x:c r="L198" t="str">
        <x:v>Cartão crédito</x:v>
      </x:c>
      <x:c r="M198" s="34" t="n">
        <x:v>1</x:v>
      </x:c>
      <x:c r="N198" t="str">
        <x:v>Mouse Óptico USB</x:v>
      </x:c>
      <x:c r="O198" t="str">
        <x:v>Periféricos</x:v>
      </x:c>
      <x:c r="P198" t="str">
        <x:v>TechDistribuidora Brasil</x:v>
      </x:c>
      <x:c r="Q198" s="34" t="n">
        <x:v>1</x:v>
      </x:c>
      <x:c r="R198" s="36" t="n">
        <x:v>49.9</x:v>
      </x:c>
      <x:c r="S198" s="38" t="n">
        <x:v>0.03</x:v>
      </x:c>
      <x:c r="T198" s="36" t="n">
        <x:v>48.4</x:v>
      </x:c>
      <x:c r="U198" s="36" t="n">
        <x:v>49.9</x:v>
      </x:c>
      <x:c r="V198" s="36" t="n">
        <x:v>1.5</x:v>
      </x:c>
      <x:c r="W198" s="36" t="n">
        <x:v>48.4</x:v>
      </x:c>
      <x:c r="X198" s="36" t="n">
        <x:v>25</x:v>
      </x:c>
      <x:c r="Y198" s="36" t="n">
        <x:v>23.4</x:v>
      </x:c>
      <x:c r="Z198" s="38" t="n">
        <x:v>0.4835</x:v>
      </x:c>
      <x:c r="AA198" s="36" t="n">
        <x:v>48.81</x:v>
      </x:c>
      <x:c r="AB198" s="34" t="n">
        <x:v>4</x:v>
      </x:c>
      <x:c r="AC198" t="str"/>
    </x:row>
    <x:row r="199">
      <x:c r="A199" s="34" t="n">
        <x:v>198</x:v>
      </x:c>
      <x:c r="B199" s="34" t="n">
        <x:v>118</x:v>
      </x:c>
      <x:c r="C199" s="32" t="n">
        <x:v>46036</x:v>
      </x:c>
      <x:c r="D199" t="str">
        <x:v>2026-01</x:v>
      </x:c>
      <x:c r="E199" s="34" t="n">
        <x:v>29</x:v>
      </x:c>
      <x:c r="F199" t="str">
        <x:v>Thiago Carvalho</x:v>
      </x:c>
      <x:c r="G199" t="str">
        <x:v>SP</x:v>
      </x:c>
      <x:c r="H199" t="str">
        <x:v>São José do Rio Preto</x:v>
      </x:c>
      <x:c r="I199" s="34" t="n">
        <x:v>50</x:v>
      </x:c>
      <x:c r="J199" t="str">
        <x:v>ENTREGUE</x:v>
      </x:c>
      <x:c r="K199" t="str">
        <x:v>Site</x:v>
      </x:c>
      <x:c r="L199" t="str">
        <x:v>Cartão crédito</x:v>
      </x:c>
      <x:c r="M199" s="34" t="n">
        <x:v>25</x:v>
      </x:c>
      <x:c r="N199" t="str">
        <x:v>Roteador Wi-Fi AC1200</x:v>
      </x:c>
      <x:c r="O199" t="str">
        <x:v>Rede</x:v>
      </x:c>
      <x:c r="P199" t="str">
        <x:v>Connect Rede</x:v>
      </x:c>
      <x:c r="Q199" s="34" t="n">
        <x:v>1</x:v>
      </x:c>
      <x:c r="R199" s="36" t="n">
        <x:v>249.9</x:v>
      </x:c>
      <x:c r="S199" s="38" t="n">
        <x:v>0.1</x:v>
      </x:c>
      <x:c r="T199" s="36" t="n">
        <x:v>224.91</x:v>
      </x:c>
      <x:c r="U199" s="36" t="n">
        <x:v>249.9</x:v>
      </x:c>
      <x:c r="V199" s="36" t="n">
        <x:v>24.99</x:v>
      </x:c>
      <x:c r="W199" s="36" t="n">
        <x:v>224.91</x:v>
      </x:c>
      <x:c r="X199" s="36" t="n">
        <x:v>145</x:v>
      </x:c>
      <x:c r="Y199" s="36" t="n">
        <x:v>79.91</x:v>
      </x:c>
      <x:c r="Z199" s="38" t="n">
        <x:v>0.3553</x:v>
      </x:c>
      <x:c r="AA199" s="36" t="n">
        <x:v>48.81</x:v>
      </x:c>
      <x:c r="AB199" s="34" t="n">
        <x:v>4</x:v>
      </x:c>
      <x:c r="AC199" t="str"/>
    </x:row>
    <x:row r="200">
      <x:c r="A200" s="34" t="n">
        <x:v>199</x:v>
      </x:c>
      <x:c r="B200" s="34" t="n">
        <x:v>119</x:v>
      </x:c>
      <x:c r="C200" s="32" t="n">
        <x:v>46176</x:v>
      </x:c>
      <x:c r="D200" t="str">
        <x:v>2026-06</x:v>
      </x:c>
      <x:c r="E200" s="34" t="n">
        <x:v>27</x:v>
      </x:c>
      <x:c r="F200" t="str">
        <x:v>Rodrigo Almeida</x:v>
      </x:c>
      <x:c r="G200" t="str">
        <x:v>SP</x:v>
      </x:c>
      <x:c r="H200" t="str">
        <x:v>Ribeirão Preto</x:v>
      </x:c>
      <x:c r="I200" s="34" t="n">
        <x:v>64</x:v>
      </x:c>
      <x:c r="J200" t="str">
        <x:v>ENTREGUE</x:v>
      </x:c>
      <x:c r="K200" t="str">
        <x:v>WhatsApp</x:v>
      </x:c>
      <x:c r="L200" t="str">
        <x:v>Cartão crédito</x:v>
      </x:c>
      <x:c r="M200" s="34" t="n">
        <x:v>25</x:v>
      </x:c>
      <x:c r="N200" t="str">
        <x:v>Roteador Wi-Fi AC1200</x:v>
      </x:c>
      <x:c r="O200" t="str">
        <x:v>Rede</x:v>
      </x:c>
      <x:c r="P200" t="str">
        <x:v>Connect Rede</x:v>
      </x:c>
      <x:c r="Q200" s="34" t="n">
        <x:v>1</x:v>
      </x:c>
      <x:c r="R200" s="36" t="n">
        <x:v>249.9</x:v>
      </x:c>
      <x:c r="S200" s="38" t="n">
        <x:v>0.03</x:v>
      </x:c>
      <x:c r="T200" s="36" t="n">
        <x:v>242.4</x:v>
      </x:c>
      <x:c r="U200" s="36" t="n">
        <x:v>249.9</x:v>
      </x:c>
      <x:c r="V200" s="36" t="n">
        <x:v>7.5</x:v>
      </x:c>
      <x:c r="W200" s="36" t="n">
        <x:v>242.4</x:v>
      </x:c>
      <x:c r="X200" s="36" t="n">
        <x:v>145</x:v>
      </x:c>
      <x:c r="Y200" s="36" t="n">
        <x:v>97.4</x:v>
      </x:c>
      <x:c r="Z200" s="38" t="n">
        <x:v>0.4018</x:v>
      </x:c>
      <x:c r="AA200" s="36" t="n">
        <x:v>39.52</x:v>
      </x:c>
      <x:c r="AB200" s="34" t="n">
        <x:v>7</x:v>
      </x:c>
      <x:c r="AC200" t="str"/>
    </x:row>
    <x:row r="201">
      <x:c r="A201" s="34" t="n">
        <x:v>200</x:v>
      </x:c>
      <x:c r="B201" s="34" t="n">
        <x:v>119</x:v>
      </x:c>
      <x:c r="C201" s="32" t="n">
        <x:v>46176</x:v>
      </x:c>
      <x:c r="D201" t="str">
        <x:v>2026-06</x:v>
      </x:c>
      <x:c r="E201" s="34" t="n">
        <x:v>27</x:v>
      </x:c>
      <x:c r="F201" t="str">
        <x:v>Rodrigo Almeida</x:v>
      </x:c>
      <x:c r="G201" t="str">
        <x:v>SP</x:v>
      </x:c>
      <x:c r="H201" t="str">
        <x:v>Ribeirão Preto</x:v>
      </x:c>
      <x:c r="I201" s="34" t="n">
        <x:v>64</x:v>
      </x:c>
      <x:c r="J201" t="str">
        <x:v>ENTREGUE</x:v>
      </x:c>
      <x:c r="K201" t="str">
        <x:v>WhatsApp</x:v>
      </x:c>
      <x:c r="L201" t="str">
        <x:v>Cartão crédito</x:v>
      </x:c>
      <x:c r="M201" s="34" t="n">
        <x:v>6</x:v>
      </x:c>
      <x:c r="N201" t="str">
        <x:v>Cabo HDMI 2m</x:v>
      </x:c>
      <x:c r="O201" t="str">
        <x:v>Acessórios</x:v>
      </x:c>
      <x:c r="P201" t="str">
        <x:v>Prime Eletrônicos</x:v>
      </x:c>
      <x:c r="Q201" s="34" t="n">
        <x:v>1</x:v>
      </x:c>
      <x:c r="R201" s="36" t="n">
        <x:v>29.9</x:v>
      </x:c>
      <x:c r="S201" s="38" t="n">
        <x:v>0.12</x:v>
      </x:c>
      <x:c r="T201" s="36" t="n">
        <x:v>26.31</x:v>
      </x:c>
      <x:c r="U201" s="36" t="n">
        <x:v>29.9</x:v>
      </x:c>
      <x:c r="V201" s="36" t="n">
        <x:v>3.59</x:v>
      </x:c>
      <x:c r="W201" s="36" t="n">
        <x:v>26.31</x:v>
      </x:c>
      <x:c r="X201" s="36" t="n">
        <x:v>10</x:v>
      </x:c>
      <x:c r="Y201" s="36" t="n">
        <x:v>16.31</x:v>
      </x:c>
      <x:c r="Z201" s="38" t="n">
        <x:v>0.6199</x:v>
      </x:c>
      <x:c r="AA201" s="36" t="n">
        <x:v>39.52</x:v>
      </x:c>
      <x:c r="AB201" s="34" t="n">
        <x:v>7</x:v>
      </x:c>
      <x:c r="AC201" t="str"/>
    </x:row>
    <x:row r="202">
      <x:c r="A202" s="34" t="n">
        <x:v>201</x:v>
      </x:c>
      <x:c r="B202" s="34" t="n">
        <x:v>120</x:v>
      </x:c>
      <x:c r="C202" s="32" t="n">
        <x:v>46049</x:v>
      </x:c>
      <x:c r="D202" t="str">
        <x:v>2026-01</x:v>
      </x:c>
      <x:c r="E202" s="34" t="n">
        <x:v>26</x:v>
      </x:c>
      <x:c r="F202" t="str">
        <x:v>Pedro Almeida</x:v>
      </x:c>
      <x:c r="G202" t="str">
        <x:v>SP</x:v>
      </x:c>
      <x:c r="H202" t="str">
        <x:v>Votuporanga</x:v>
      </x:c>
      <x:c r="I202" s="34" t="n">
        <x:v>21</x:v>
      </x:c>
      <x:c r="J202" t="str">
        <x:v>ENTREGUE</x:v>
      </x:c>
      <x:c r="K202" t="str">
        <x:v>Site</x:v>
      </x:c>
      <x:c r="L202" t="str">
        <x:v>Cartão crédito</x:v>
      </x:c>
      <x:c r="M202" s="34" t="n">
        <x:v>6</x:v>
      </x:c>
      <x:c r="N202" t="str">
        <x:v>Cabo HDMI 2m</x:v>
      </x:c>
      <x:c r="O202" t="str">
        <x:v>Acessórios</x:v>
      </x:c>
      <x:c r="P202" t="str">
        <x:v>Prime Eletrônicos</x:v>
      </x:c>
      <x:c r="Q202" s="34" t="n">
        <x:v>2</x:v>
      </x:c>
      <x:c r="R202" s="36" t="n">
        <x:v>29.9</x:v>
      </x:c>
      <x:c r="S202" s="38" t="n">
        <x:v>0</x:v>
      </x:c>
      <x:c r="T202" s="36" t="n">
        <x:v>29.9</x:v>
      </x:c>
      <x:c r="U202" s="36" t="n">
        <x:v>59.8</x:v>
      </x:c>
      <x:c r="V202" s="36" t="n">
        <x:v>0</x:v>
      </x:c>
      <x:c r="W202" s="36" t="n">
        <x:v>59.8</x:v>
      </x:c>
      <x:c r="X202" s="36" t="n">
        <x:v>20</x:v>
      </x:c>
      <x:c r="Y202" s="36" t="n">
        <x:v>39.8</x:v>
      </x:c>
      <x:c r="Z202" s="38" t="n">
        <x:v>0.6656</x:v>
      </x:c>
      <x:c r="AA202" s="36" t="n">
        <x:v>43.33</x:v>
      </x:c>
      <x:c r="AB202" s="34" t="n">
        <x:v>3</x:v>
      </x:c>
      <x:c r="AC202" t="str"/>
    </x:row>
    <x:row r="203">
      <x:c r="A203" s="34" t="n">
        <x:v>202</x:v>
      </x:c>
      <x:c r="B203" s="34" t="n">
        <x:v>120</x:v>
      </x:c>
      <x:c r="C203" s="32" t="n">
        <x:v>46049</x:v>
      </x:c>
      <x:c r="D203" t="str">
        <x:v>2026-01</x:v>
      </x:c>
      <x:c r="E203" s="34" t="n">
        <x:v>26</x:v>
      </x:c>
      <x:c r="F203" t="str">
        <x:v>Pedro Almeida</x:v>
      </x:c>
      <x:c r="G203" t="str">
        <x:v>SP</x:v>
      </x:c>
      <x:c r="H203" t="str">
        <x:v>Votuporanga</x:v>
      </x:c>
      <x:c r="I203" s="34" t="n">
        <x:v>21</x:v>
      </x:c>
      <x:c r="J203" t="str">
        <x:v>ENTREGUE</x:v>
      </x:c>
      <x:c r="K203" t="str">
        <x:v>Site</x:v>
      </x:c>
      <x:c r="L203" t="str">
        <x:v>Cartão crédito</x:v>
      </x:c>
      <x:c r="M203" s="34" t="n">
        <x:v>25</x:v>
      </x:c>
      <x:c r="N203" t="str">
        <x:v>Roteador Wi-Fi AC1200</x:v>
      </x:c>
      <x:c r="O203" t="str">
        <x:v>Rede</x:v>
      </x:c>
      <x:c r="P203" t="str">
        <x:v>Connect Rede</x:v>
      </x:c>
      <x:c r="Q203" s="34" t="n">
        <x:v>3</x:v>
      </x:c>
      <x:c r="R203" s="36" t="n">
        <x:v>249.9</x:v>
      </x:c>
      <x:c r="S203" s="38" t="n">
        <x:v>0</x:v>
      </x:c>
      <x:c r="T203" s="36" t="n">
        <x:v>249.9</x:v>
      </x:c>
      <x:c r="U203" s="36" t="n">
        <x:v>749.7</x:v>
      </x:c>
      <x:c r="V203" s="36" t="n">
        <x:v>0</x:v>
      </x:c>
      <x:c r="W203" s="36" t="n">
        <x:v>749.7</x:v>
      </x:c>
      <x:c r="X203" s="36" t="n">
        <x:v>435</x:v>
      </x:c>
      <x:c r="Y203" s="36" t="n">
        <x:v>314.7</x:v>
      </x:c>
      <x:c r="Z203" s="38" t="n">
        <x:v>0.4198</x:v>
      </x:c>
      <x:c r="AA203" s="36" t="n">
        <x:v>43.33</x:v>
      </x:c>
      <x:c r="AB203" s="34" t="n">
        <x:v>3</x:v>
      </x:c>
      <x:c r="AC203" t="str"/>
    </x:row>
    <x:row r="204">
      <x:c r="A204" s="34" t="n">
        <x:v>203</x:v>
      </x:c>
      <x:c r="B204" s="34" t="n">
        <x:v>120</x:v>
      </x:c>
      <x:c r="C204" s="32" t="n">
        <x:v>46049</x:v>
      </x:c>
      <x:c r="D204" t="str">
        <x:v>2026-01</x:v>
      </x:c>
      <x:c r="E204" s="34" t="n">
        <x:v>26</x:v>
      </x:c>
      <x:c r="F204" t="str">
        <x:v>Pedro Almeida</x:v>
      </x:c>
      <x:c r="G204" t="str">
        <x:v>SP</x:v>
      </x:c>
      <x:c r="H204" t="str">
        <x:v>Votuporanga</x:v>
      </x:c>
      <x:c r="I204" s="34" t="n">
        <x:v>21</x:v>
      </x:c>
      <x:c r="J204" t="str">
        <x:v>ENTREGUE</x:v>
      </x:c>
      <x:c r="K204" t="str">
        <x:v>Site</x:v>
      </x:c>
      <x:c r="L204" t="str">
        <x:v>Cartão crédito</x:v>
      </x:c>
      <x:c r="M204" s="34" t="n">
        <x:v>2</x:v>
      </x:c>
      <x:c r="N204" t="str">
        <x:v>Teclado Membrana ABNT2</x:v>
      </x:c>
      <x:c r="O204" t="str">
        <x:v>Periféricos</x:v>
      </x:c>
      <x:c r="P204" t="str">
        <x:v>TechDistribuidora Brasil</x:v>
      </x:c>
      <x:c r="Q204" s="34" t="n">
        <x:v>1</x:v>
      </x:c>
      <x:c r="R204" s="36" t="n">
        <x:v>89.9</x:v>
      </x:c>
      <x:c r="S204" s="38" t="n">
        <x:v>0.1</x:v>
      </x:c>
      <x:c r="T204" s="36" t="n">
        <x:v>80.91</x:v>
      </x:c>
      <x:c r="U204" s="36" t="n">
        <x:v>89.9</x:v>
      </x:c>
      <x:c r="V204" s="36" t="n">
        <x:v>8.99</x:v>
      </x:c>
      <x:c r="W204" s="36" t="n">
        <x:v>80.91</x:v>
      </x:c>
      <x:c r="X204" s="36" t="n">
        <x:v>48</x:v>
      </x:c>
      <x:c r="Y204" s="36" t="n">
        <x:v>32.91</x:v>
      </x:c>
      <x:c r="Z204" s="38" t="n">
        <x:v>0.4067</x:v>
      </x:c>
      <x:c r="AA204" s="36" t="n">
        <x:v>43.33</x:v>
      </x:c>
      <x:c r="AB204" s="34" t="n">
        <x:v>3</x:v>
      </x:c>
      <x:c r="AC204" t="str"/>
    </x:row>
    <x:row r="205">
      <x:c r="A205" s="34" t="n">
        <x:v>204</x:v>
      </x:c>
      <x:c r="B205" s="34" t="n">
        <x:v>120</x:v>
      </x:c>
      <x:c r="C205" s="32" t="n">
        <x:v>46049</x:v>
      </x:c>
      <x:c r="D205" t="str">
        <x:v>2026-01</x:v>
      </x:c>
      <x:c r="E205" s="34" t="n">
        <x:v>26</x:v>
      </x:c>
      <x:c r="F205" t="str">
        <x:v>Pedro Almeida</x:v>
      </x:c>
      <x:c r="G205" t="str">
        <x:v>SP</x:v>
      </x:c>
      <x:c r="H205" t="str">
        <x:v>Votuporanga</x:v>
      </x:c>
      <x:c r="I205" s="34" t="n">
        <x:v>21</x:v>
      </x:c>
      <x:c r="J205" t="str">
        <x:v>ENTREGUE</x:v>
      </x:c>
      <x:c r="K205" t="str">
        <x:v>Site</x:v>
      </x:c>
      <x:c r="L205" t="str">
        <x:v>Cartão crédito</x:v>
      </x:c>
      <x:c r="M205" s="34" t="n">
        <x:v>4</x:v>
      </x:c>
      <x:c r="N205" t="str">
        <x:v>Webcam Full HD</x:v>
      </x:c>
      <x:c r="O205" t="str">
        <x:v>Periféricos</x:v>
      </x:c>
      <x:c r="P205" t="str">
        <x:v>Prime Eletrônicos</x:v>
      </x:c>
      <x:c r="Q205" s="34" t="n">
        <x:v>1</x:v>
      </x:c>
      <x:c r="R205" s="36" t="n">
        <x:v>199.9</x:v>
      </x:c>
      <x:c r="S205" s="38" t="n">
        <x:v>0.08</x:v>
      </x:c>
      <x:c r="T205" s="36" t="n">
        <x:v>183.91</x:v>
      </x:c>
      <x:c r="U205" s="36" t="n">
        <x:v>199.9</x:v>
      </x:c>
      <x:c r="V205" s="36" t="n">
        <x:v>15.99</x:v>
      </x:c>
      <x:c r="W205" s="36" t="n">
        <x:v>183.91</x:v>
      </x:c>
      <x:c r="X205" s="36" t="n">
        <x:v>112</x:v>
      </x:c>
      <x:c r="Y205" s="36" t="n">
        <x:v>71.91</x:v>
      </x:c>
      <x:c r="Z205" s="38" t="n">
        <x:v>0.391</x:v>
      </x:c>
      <x:c r="AA205" s="36" t="n">
        <x:v>43.33</x:v>
      </x:c>
      <x:c r="AB205" s="34" t="n">
        <x:v>3</x:v>
      </x:c>
      <x:c r="AC205" t="str"/>
    </x:row>
    <x:row r="206">
      <x:c r="A206" s="34" t="n">
        <x:v>205</x:v>
      </x:c>
      <x:c r="B206" s="34" t="n">
        <x:v>121</x:v>
      </x:c>
      <x:c r="C206" s="32" t="n">
        <x:v>46178</x:v>
      </x:c>
      <x:c r="D206" t="str">
        <x:v>2026-06</x:v>
      </x:c>
      <x:c r="E206" s="34" t="n">
        <x:v>23</x:v>
      </x:c>
      <x:c r="F206" t="str">
        <x:v>Matheus Silva</x:v>
      </x:c>
      <x:c r="G206" t="str">
        <x:v>RJ</x:v>
      </x:c>
      <x:c r="H206" t="str">
        <x:v>Rio de Janeiro</x:v>
      </x:c>
      <x:c r="I206" s="34" t="n">
        <x:v>21</x:v>
      </x:c>
      <x:c r="J206" t="str">
        <x:v>ENTREGUE</x:v>
      </x:c>
      <x:c r="K206" t="str">
        <x:v>WhatsApp</x:v>
      </x:c>
      <x:c r="L206" t="str">
        <x:v>Cartão crédito</x:v>
      </x:c>
      <x:c r="M206" s="34" t="n">
        <x:v>8</x:v>
      </x:c>
      <x:c r="N206" t="str">
        <x:v>Suporte Articulado para Monitor</x:v>
      </x:c>
      <x:c r="O206" t="str">
        <x:v>Acessórios</x:v>
      </x:c>
      <x:c r="P206" t="str">
        <x:v>OfficeTech Supply</x:v>
      </x:c>
      <x:c r="Q206" s="34" t="n">
        <x:v>1</x:v>
      </x:c>
      <x:c r="R206" s="36" t="n">
        <x:v>149.9</x:v>
      </x:c>
      <x:c r="S206" s="38" t="n">
        <x:v>0</x:v>
      </x:c>
      <x:c r="T206" s="36" t="n">
        <x:v>149.9</x:v>
      </x:c>
      <x:c r="U206" s="36" t="n">
        <x:v>149.9</x:v>
      </x:c>
      <x:c r="V206" s="36" t="n">
        <x:v>0</x:v>
      </x:c>
      <x:c r="W206" s="36" t="n">
        <x:v>149.9</x:v>
      </x:c>
      <x:c r="X206" s="36" t="n">
        <x:v>73</x:v>
      </x:c>
      <x:c r="Y206" s="36" t="n">
        <x:v>76.9</x:v>
      </x:c>
      <x:c r="Z206" s="38" t="n">
        <x:v>0.513</x:v>
      </x:c>
      <x:c r="AA206" s="36" t="n">
        <x:v>42.31</x:v>
      </x:c>
      <x:c r="AB206" s="34" t="n">
        <x:v>2</x:v>
      </x:c>
      <x:c r="AC206" t="str"/>
    </x:row>
    <x:row r="207">
      <x:c r="A207" s="34" t="n">
        <x:v>206</x:v>
      </x:c>
      <x:c r="B207" s="34" t="n">
        <x:v>122</x:v>
      </x:c>
      <x:c r="C207" s="32" t="n">
        <x:v>46045</x:v>
      </x:c>
      <x:c r="D207" t="str">
        <x:v>2026-01</x:v>
      </x:c>
      <x:c r="E207" s="34" t="n">
        <x:v>8</x:v>
      </x:c>
      <x:c r="F207" t="str">
        <x:v>Mariana Pereira</x:v>
      </x:c>
      <x:c r="G207" t="str">
        <x:v>SP</x:v>
      </x:c>
      <x:c r="H207" t="str">
        <x:v>São Paulo</x:v>
      </x:c>
      <x:c r="I207" s="34" t="n">
        <x:v>63</x:v>
      </x:c>
      <x:c r="J207" t="str">
        <x:v>ENTREGUE</x:v>
      </x:c>
      <x:c r="K207" t="str">
        <x:v>Indicação</x:v>
      </x:c>
      <x:c r="L207" t="str">
        <x:v>Cartão crédito</x:v>
      </x:c>
      <x:c r="M207" s="34" t="n">
        <x:v>6</x:v>
      </x:c>
      <x:c r="N207" t="str">
        <x:v>Cabo HDMI 2m</x:v>
      </x:c>
      <x:c r="O207" t="str">
        <x:v>Acessórios</x:v>
      </x:c>
      <x:c r="P207" t="str">
        <x:v>Prime Eletrônicos</x:v>
      </x:c>
      <x:c r="Q207" s="34" t="n">
        <x:v>2</x:v>
      </x:c>
      <x:c r="R207" s="36" t="n">
        <x:v>29.9</x:v>
      </x:c>
      <x:c r="S207" s="38" t="n">
        <x:v>0</x:v>
      </x:c>
      <x:c r="T207" s="36" t="n">
        <x:v>29.9</x:v>
      </x:c>
      <x:c r="U207" s="36" t="n">
        <x:v>59.8</x:v>
      </x:c>
      <x:c r="V207" s="36" t="n">
        <x:v>0</x:v>
      </x:c>
      <x:c r="W207" s="36" t="n">
        <x:v>59.8</x:v>
      </x:c>
      <x:c r="X207" s="36" t="n">
        <x:v>20</x:v>
      </x:c>
      <x:c r="Y207" s="36" t="n">
        <x:v>39.8</x:v>
      </x:c>
      <x:c r="Z207" s="38" t="n">
        <x:v>0.6656</x:v>
      </x:c>
      <x:c r="AA207" s="36" t="n">
        <x:v>34.08</x:v>
      </x:c>
      <x:c r="AB207" s="34" t="n">
        <x:v>7</x:v>
      </x:c>
      <x:c r="AC207" t="str"/>
    </x:row>
    <x:row r="208">
      <x:c r="A208" s="34" t="n">
        <x:v>207</x:v>
      </x:c>
      <x:c r="B208" s="34" t="n">
        <x:v>123</x:v>
      </x:c>
      <x:c r="C208" s="32" t="n">
        <x:v>46178</x:v>
      </x:c>
      <x:c r="D208" t="str">
        <x:v>2026-06</x:v>
      </x:c>
      <x:c r="E208" s="34" t="n">
        <x:v>30</x:v>
      </x:c>
      <x:c r="F208" t="str">
        <x:v>Renan Souza</x:v>
      </x:c>
      <x:c r="G208" t="str">
        <x:v>SP</x:v>
      </x:c>
      <x:c r="H208" t="str">
        <x:v>São Paulo</x:v>
      </x:c>
      <x:c r="I208" s="34" t="n">
        <x:v>33</x:v>
      </x:c>
      <x:c r="J208" t="str">
        <x:v>ENVIADO</x:v>
      </x:c>
      <x:c r="K208" t="str">
        <x:v>WhatsApp</x:v>
      </x:c>
      <x:c r="L208" t="str">
        <x:v>Cartão crédito</x:v>
      </x:c>
      <x:c r="M208" s="34" t="n">
        <x:v>7</x:v>
      </x:c>
      <x:c r="N208" t="str">
        <x:v>Adaptador USB-C HDMI</x:v>
      </x:c>
      <x:c r="O208" t="str">
        <x:v>Acessórios</x:v>
      </x:c>
      <x:c r="P208" t="str">
        <x:v>Prime Eletrônicos</x:v>
      </x:c>
      <x:c r="Q208" s="34" t="n">
        <x:v>1</x:v>
      </x:c>
      <x:c r="R208" s="36" t="n">
        <x:v>119.9</x:v>
      </x:c>
      <x:c r="S208" s="38" t="n">
        <x:v>0.03</x:v>
      </x:c>
      <x:c r="T208" s="36" t="n">
        <x:v>116.3</x:v>
      </x:c>
      <x:c r="U208" s="36" t="n">
        <x:v>119.9</x:v>
      </x:c>
      <x:c r="V208" s="36" t="n">
        <x:v>3.6</x:v>
      </x:c>
      <x:c r="W208" s="36" t="n">
        <x:v>116.3</x:v>
      </x:c>
      <x:c r="X208" s="36" t="n">
        <x:v>58</x:v>
      </x:c>
      <x:c r="Y208" s="36" t="n">
        <x:v>58.3</x:v>
      </x:c>
      <x:c r="Z208" s="38" t="n">
        <x:v>0.5013</x:v>
      </x:c>
      <x:c r="AA208" s="36" t="n">
        <x:v>22.9</x:v>
      </x:c>
      <x:c r="AB208" s="34" t="n">
        <x:v>2</x:v>
      </x:c>
      <x:c r="AC208" t="str"/>
    </x:row>
    <x:row r="209">
      <x:c r="A209" s="34" t="n">
        <x:v>208</x:v>
      </x:c>
      <x:c r="B209" s="34" t="n">
        <x:v>124</x:v>
      </x:c>
      <x:c r="C209" s="32" t="n">
        <x:v>46034</x:v>
      </x:c>
      <x:c r="D209" t="str">
        <x:v>2026-01</x:v>
      </x:c>
      <x:c r="E209" s="34" t="n">
        <x:v>46</x:v>
      </x:c>
      <x:c r="F209" t="str">
        <x:v>Bruno Ribeiro</x:v>
      </x:c>
      <x:c r="G209" t="str">
        <x:v>SP</x:v>
      </x:c>
      <x:c r="H209" t="str">
        <x:v>São Paulo</x:v>
      </x:c>
      <x:c r="I209" s="34" t="n">
        <x:v>52</x:v>
      </x:c>
      <x:c r="J209" t="str">
        <x:v>ENTREGUE</x:v>
      </x:c>
      <x:c r="K209" t="str">
        <x:v>Instagram</x:v>
      </x:c>
      <x:c r="L209" t="str">
        <x:v>Cartão crédito</x:v>
      </x:c>
      <x:c r="M209" s="34" t="n">
        <x:v>5</x:v>
      </x:c>
      <x:c r="N209" t="str">
        <x:v>Mousepad Grande</x:v>
      </x:c>
      <x:c r="O209" t="str">
        <x:v>Acessórios</x:v>
      </x:c>
      <x:c r="P209" t="str">
        <x:v>Prime Eletrônicos</x:v>
      </x:c>
      <x:c r="Q209" s="34" t="n">
        <x:v>1</x:v>
      </x:c>
      <x:c r="R209" s="36" t="n">
        <x:v>39.9</x:v>
      </x:c>
      <x:c r="S209" s="38" t="n">
        <x:v>0</x:v>
      </x:c>
      <x:c r="T209" s="36" t="n">
        <x:v>39.9</x:v>
      </x:c>
      <x:c r="U209" s="36" t="n">
        <x:v>39.9</x:v>
      </x:c>
      <x:c r="V209" s="36" t="n">
        <x:v>0</x:v>
      </x:c>
      <x:c r="W209" s="36" t="n">
        <x:v>39.9</x:v>
      </x:c>
      <x:c r="X209" s="36" t="n">
        <x:v>17</x:v>
      </x:c>
      <x:c r="Y209" s="36" t="n">
        <x:v>22.9</x:v>
      </x:c>
      <x:c r="Z209" s="38" t="n">
        <x:v>0.5739</x:v>
      </x:c>
      <x:c r="AA209" s="36" t="n">
        <x:v>33.31</x:v>
      </x:c>
      <x:c r="AB209" s="34" t="n">
        <x:v>1</x:v>
      </x:c>
      <x:c r="AC209" t="str"/>
    </x:row>
    <x:row r="210">
      <x:c r="A210" s="34" t="n">
        <x:v>209</x:v>
      </x:c>
      <x:c r="B210" s="34" t="n">
        <x:v>125</x:v>
      </x:c>
      <x:c r="C210" s="32" t="n">
        <x:v>46043</x:v>
      </x:c>
      <x:c r="D210" t="str">
        <x:v>2026-01</x:v>
      </x:c>
      <x:c r="E210" s="34" t="n">
        <x:v>43</x:v>
      </x:c>
      <x:c r="F210" t="str">
        <x:v>Caio Souza</x:v>
      </x:c>
      <x:c r="G210" t="str">
        <x:v>SP</x:v>
      </x:c>
      <x:c r="H210" t="str">
        <x:v>Mirassol</x:v>
      </x:c>
      <x:c r="I210" s="34" t="n">
        <x:v>22</x:v>
      </x:c>
      <x:c r="J210" t="str">
        <x:v>EM PROCESSAMENTO</x:v>
      </x:c>
      <x:c r="K210" t="str">
        <x:v>Indicação</x:v>
      </x:c>
      <x:c r="L210" t="str">
        <x:v>Cartão crédito</x:v>
      </x:c>
      <x:c r="M210" s="34" t="n">
        <x:v>10</x:v>
      </x:c>
      <x:c r="N210" t="str">
        <x:v>SSD 480GB SATA</x:v>
      </x:c>
      <x:c r="O210" t="str">
        <x:v>Armazenamento</x:v>
      </x:c>
      <x:c r="P210" t="str">
        <x:v>Mega Componentes</x:v>
      </x:c>
      <x:c r="Q210" s="34" t="n">
        <x:v>2</x:v>
      </x:c>
      <x:c r="R210" s="36" t="n">
        <x:v>259.9</x:v>
      </x:c>
      <x:c r="S210" s="38" t="n">
        <x:v>0.05</x:v>
      </x:c>
      <x:c r="T210" s="36" t="n">
        <x:v>246.9</x:v>
      </x:c>
      <x:c r="U210" s="36" t="n">
        <x:v>519.8</x:v>
      </x:c>
      <x:c r="V210" s="36" t="n">
        <x:v>26</x:v>
      </x:c>
      <x:c r="W210" s="36" t="n">
        <x:v>493.8</x:v>
      </x:c>
      <x:c r="X210" s="36" t="n">
        <x:v>316</x:v>
      </x:c>
      <x:c r="Y210" s="36" t="n">
        <x:v>177.8</x:v>
      </x:c>
      <x:c r="Z210" s="38" t="n">
        <x:v>0.3601</x:v>
      </x:c>
      <x:c r="AA210" s="36" t="n">
        <x:v>21.11</x:v>
      </x:c>
      <x:c r="AB210" s="34"/>
      <x:c r="AC210" t="str"/>
    </x:row>
    <x:row r="211">
      <x:c r="A211" s="34" t="n">
        <x:v>210</x:v>
      </x:c>
      <x:c r="B211" s="34" t="n">
        <x:v>125</x:v>
      </x:c>
      <x:c r="C211" s="32" t="n">
        <x:v>46043</x:v>
      </x:c>
      <x:c r="D211" t="str">
        <x:v>2026-01</x:v>
      </x:c>
      <x:c r="E211" s="34" t="n">
        <x:v>43</x:v>
      </x:c>
      <x:c r="F211" t="str">
        <x:v>Caio Souza</x:v>
      </x:c>
      <x:c r="G211" t="str">
        <x:v>SP</x:v>
      </x:c>
      <x:c r="H211" t="str">
        <x:v>Mirassol</x:v>
      </x:c>
      <x:c r="I211" s="34" t="n">
        <x:v>22</x:v>
      </x:c>
      <x:c r="J211" t="str">
        <x:v>EM PROCESSAMENTO</x:v>
      </x:c>
      <x:c r="K211" t="str">
        <x:v>Indicação</x:v>
      </x:c>
      <x:c r="L211" t="str">
        <x:v>Cartão crédito</x:v>
      </x:c>
      <x:c r="M211" s="34" t="n">
        <x:v>14</x:v>
      </x:c>
      <x:c r="N211" t="str">
        <x:v>Memória RAM 16GB DDR4</x:v>
      </x:c>
      <x:c r="O211" t="str">
        <x:v>Componentes</x:v>
      </x:c>
      <x:c r="P211" t="str">
        <x:v>Mega Componentes</x:v>
      </x:c>
      <x:c r="Q211" s="34" t="n">
        <x:v>1</x:v>
      </x:c>
      <x:c r="R211" s="36" t="n">
        <x:v>319.9</x:v>
      </x:c>
      <x:c r="S211" s="38" t="n">
        <x:v>0.03</x:v>
      </x:c>
      <x:c r="T211" s="36" t="n">
        <x:v>310.3</x:v>
      </x:c>
      <x:c r="U211" s="36" t="n">
        <x:v>319.9</x:v>
      </x:c>
      <x:c r="V211" s="36" t="n">
        <x:v>9.6</x:v>
      </x:c>
      <x:c r="W211" s="36" t="n">
        <x:v>310.3</x:v>
      </x:c>
      <x:c r="X211" s="36" t="n">
        <x:v>198</x:v>
      </x:c>
      <x:c r="Y211" s="36" t="n">
        <x:v>112.3</x:v>
      </x:c>
      <x:c r="Z211" s="38" t="n">
        <x:v>0.3619</x:v>
      </x:c>
      <x:c r="AA211" s="36" t="n">
        <x:v>21.11</x:v>
      </x:c>
      <x:c r="AB211" s="34"/>
      <x:c r="AC211" t="str"/>
    </x:row>
    <x:row r="212">
      <x:c r="A212" s="34" t="n">
        <x:v>211</x:v>
      </x:c>
      <x:c r="B212" s="34" t="n">
        <x:v>125</x:v>
      </x:c>
      <x:c r="C212" s="32" t="n">
        <x:v>46043</x:v>
      </x:c>
      <x:c r="D212" t="str">
        <x:v>2026-01</x:v>
      </x:c>
      <x:c r="E212" s="34" t="n">
        <x:v>43</x:v>
      </x:c>
      <x:c r="F212" t="str">
        <x:v>Caio Souza</x:v>
      </x:c>
      <x:c r="G212" t="str">
        <x:v>SP</x:v>
      </x:c>
      <x:c r="H212" t="str">
        <x:v>Mirassol</x:v>
      </x:c>
      <x:c r="I212" s="34" t="n">
        <x:v>22</x:v>
      </x:c>
      <x:c r="J212" t="str">
        <x:v>EM PROCESSAMENTO</x:v>
      </x:c>
      <x:c r="K212" t="str">
        <x:v>Indicação</x:v>
      </x:c>
      <x:c r="L212" t="str">
        <x:v>Cartão crédito</x:v>
      </x:c>
      <x:c r="M212" s="34" t="n">
        <x:v>12</x:v>
      </x:c>
      <x:c r="N212" t="str">
        <x:v>HD Externo 1TB</x:v>
      </x:c>
      <x:c r="O212" t="str">
        <x:v>Armazenamento</x:v>
      </x:c>
      <x:c r="P212" t="str">
        <x:v>InfoMax Atacado</x:v>
      </x:c>
      <x:c r="Q212" s="34" t="n">
        <x:v>1</x:v>
      </x:c>
      <x:c r="R212" s="36" t="n">
        <x:v>369.9</x:v>
      </x:c>
      <x:c r="S212" s="38" t="n">
        <x:v>0</x:v>
      </x:c>
      <x:c r="T212" s="36" t="n">
        <x:v>369.9</x:v>
      </x:c>
      <x:c r="U212" s="36" t="n">
        <x:v>369.9</x:v>
      </x:c>
      <x:c r="V212" s="36" t="n">
        <x:v>0</x:v>
      </x:c>
      <x:c r="W212" s="36" t="n">
        <x:v>369.9</x:v>
      </x:c>
      <x:c r="X212" s="36" t="n">
        <x:v>246</x:v>
      </x:c>
      <x:c r="Y212" s="36" t="n">
        <x:v>123.9</x:v>
      </x:c>
      <x:c r="Z212" s="38" t="n">
        <x:v>0.335</x:v>
      </x:c>
      <x:c r="AA212" s="36" t="n">
        <x:v>21.11</x:v>
      </x:c>
      <x:c r="AB212" s="34"/>
      <x:c r="AC212" t="str"/>
    </x:row>
    <x:row r="213">
      <x:c r="A213" s="34" t="n">
        <x:v>212</x:v>
      </x:c>
      <x:c r="B213" s="34" t="n">
        <x:v>126</x:v>
      </x:c>
      <x:c r="C213" s="32" t="n">
        <x:v>46177</x:v>
      </x:c>
      <x:c r="D213" t="str">
        <x:v>2026-06</x:v>
      </x:c>
      <x:c r="E213" s="34" t="n">
        <x:v>20</x:v>
      </x:c>
      <x:c r="F213" t="str">
        <x:v>Henrique Silva</x:v>
      </x:c>
      <x:c r="G213" t="str">
        <x:v>SP</x:v>
      </x:c>
      <x:c r="H213" t="str">
        <x:v>Ribeirão Preto</x:v>
      </x:c>
      <x:c r="I213" s="34" t="n">
        <x:v>21</x:v>
      </x:c>
      <x:c r="J213" t="str">
        <x:v>EM PROCESSAMENTO</x:v>
      </x:c>
      <x:c r="K213" t="str">
        <x:v>Site</x:v>
      </x:c>
      <x:c r="L213" t="str">
        <x:v>Cartão crédito</x:v>
      </x:c>
      <x:c r="M213" s="34" t="n">
        <x:v>6</x:v>
      </x:c>
      <x:c r="N213" t="str">
        <x:v>Cabo HDMI 2m</x:v>
      </x:c>
      <x:c r="O213" t="str">
        <x:v>Acessórios</x:v>
      </x:c>
      <x:c r="P213" t="str">
        <x:v>Prime Eletrônicos</x:v>
      </x:c>
      <x:c r="Q213" s="34" t="n">
        <x:v>2</x:v>
      </x:c>
      <x:c r="R213" s="36" t="n">
        <x:v>29.9</x:v>
      </x:c>
      <x:c r="S213" s="38" t="n">
        <x:v>0.03</x:v>
      </x:c>
      <x:c r="T213" s="36" t="n">
        <x:v>29</x:v>
      </x:c>
      <x:c r="U213" s="36" t="n">
        <x:v>59.8</x:v>
      </x:c>
      <x:c r="V213" s="36" t="n">
        <x:v>1.8</x:v>
      </x:c>
      <x:c r="W213" s="36" t="n">
        <x:v>58</x:v>
      </x:c>
      <x:c r="X213" s="36" t="n">
        <x:v>20</x:v>
      </x:c>
      <x:c r="Y213" s="36" t="n">
        <x:v>38</x:v>
      </x:c>
      <x:c r="Z213" s="38" t="n">
        <x:v>0.6552</x:v>
      </x:c>
      <x:c r="AA213" s="36" t="n">
        <x:v>18.02</x:v>
      </x:c>
      <x:c r="AB213" s="34"/>
      <x:c r="AC213" t="str"/>
    </x:row>
    <x:row r="214">
      <x:c r="A214" s="34" t="n">
        <x:v>213</x:v>
      </x:c>
      <x:c r="B214" s="34" t="n">
        <x:v>127</x:v>
      </x:c>
      <x:c r="C214" s="32" t="n">
        <x:v>46066</x:v>
      </x:c>
      <x:c r="D214" t="str">
        <x:v>2026-02</x:v>
      </x:c>
      <x:c r="E214" s="34" t="n">
        <x:v>60</x:v>
      </x:c>
      <x:c r="F214" t="str">
        <x:v>Mariana Araujo</x:v>
      </x:c>
      <x:c r="G214" t="str">
        <x:v>PR</x:v>
      </x:c>
      <x:c r="H214" t="str">
        <x:v>Curitiba</x:v>
      </x:c>
      <x:c r="I214" s="34" t="n">
        <x:v>19</x:v>
      </x:c>
      <x:c r="J214" t="str">
        <x:v>ENTREGUE</x:v>
      </x:c>
      <x:c r="K214" t="str">
        <x:v>Site</x:v>
      </x:c>
      <x:c r="L214" t="str">
        <x:v>Cartão crédito</x:v>
      </x:c>
      <x:c r="M214" s="34" t="n">
        <x:v>11</x:v>
      </x:c>
      <x:c r="N214" t="str">
        <x:v>SSD NVMe 500GB</x:v>
      </x:c>
      <x:c r="O214" t="str">
        <x:v>Armazenamento</x:v>
      </x:c>
      <x:c r="P214" t="str">
        <x:v>FastHardware</x:v>
      </x:c>
      <x:c r="Q214" s="34" t="n">
        <x:v>1</x:v>
      </x:c>
      <x:c r="R214" s="36" t="n">
        <x:v>329.9</x:v>
      </x:c>
      <x:c r="S214" s="38" t="n">
        <x:v>0.05</x:v>
      </x:c>
      <x:c r="T214" s="36" t="n">
        <x:v>313.4</x:v>
      </x:c>
      <x:c r="U214" s="36" t="n">
        <x:v>329.9</x:v>
      </x:c>
      <x:c r="V214" s="36" t="n">
        <x:v>16.5</x:v>
      </x:c>
      <x:c r="W214" s="36" t="n">
        <x:v>313.4</x:v>
      </x:c>
      <x:c r="X214" s="36" t="n">
        <x:v>205</x:v>
      </x:c>
      <x:c r="Y214" s="36" t="n">
        <x:v>108.4</x:v>
      </x:c>
      <x:c r="Z214" s="38" t="n">
        <x:v>0.3459</x:v>
      </x:c>
      <x:c r="AA214" s="36" t="n">
        <x:v>22.32</x:v>
      </x:c>
      <x:c r="AB214" s="34" t="n">
        <x:v>7</x:v>
      </x:c>
      <x:c r="AC214" t="str"/>
    </x:row>
    <x:row r="215">
      <x:c r="A215" s="34" t="n">
        <x:v>214</x:v>
      </x:c>
      <x:c r="B215" s="34" t="n">
        <x:v>127</x:v>
      </x:c>
      <x:c r="C215" s="32" t="n">
        <x:v>46066</x:v>
      </x:c>
      <x:c r="D215" t="str">
        <x:v>2026-02</x:v>
      </x:c>
      <x:c r="E215" s="34" t="n">
        <x:v>60</x:v>
      </x:c>
      <x:c r="F215" t="str">
        <x:v>Mariana Araujo</x:v>
      </x:c>
      <x:c r="G215" t="str">
        <x:v>PR</x:v>
      </x:c>
      <x:c r="H215" t="str">
        <x:v>Curitiba</x:v>
      </x:c>
      <x:c r="I215" s="34" t="n">
        <x:v>19</x:v>
      </x:c>
      <x:c r="J215" t="str">
        <x:v>ENTREGUE</x:v>
      </x:c>
      <x:c r="K215" t="str">
        <x:v>Site</x:v>
      </x:c>
      <x:c r="L215" t="str">
        <x:v>Cartão crédito</x:v>
      </x:c>
      <x:c r="M215" s="34" t="n">
        <x:v>9</x:v>
      </x:c>
      <x:c r="N215" t="str">
        <x:v>SSD 240GB SATA</x:v>
      </x:c>
      <x:c r="O215" t="str">
        <x:v>Armazenamento</x:v>
      </x:c>
      <x:c r="P215" t="str">
        <x:v>Mega Componentes</x:v>
      </x:c>
      <x:c r="Q215" s="34" t="n">
        <x:v>1</x:v>
      </x:c>
      <x:c r="R215" s="36" t="n">
        <x:v>169.9</x:v>
      </x:c>
      <x:c r="S215" s="38" t="n">
        <x:v>0.08</x:v>
      </x:c>
      <x:c r="T215" s="36" t="n">
        <x:v>156.31</x:v>
      </x:c>
      <x:c r="U215" s="36" t="n">
        <x:v>169.9</x:v>
      </x:c>
      <x:c r="V215" s="36" t="n">
        <x:v>13.59</x:v>
      </x:c>
      <x:c r="W215" s="36" t="n">
        <x:v>156.31</x:v>
      </x:c>
      <x:c r="X215" s="36" t="n">
        <x:v>98</x:v>
      </x:c>
      <x:c r="Y215" s="36" t="n">
        <x:v>58.31</x:v>
      </x:c>
      <x:c r="Z215" s="38" t="n">
        <x:v>0.373</x:v>
      </x:c>
      <x:c r="AA215" s="36" t="n">
        <x:v>22.32</x:v>
      </x:c>
      <x:c r="AB215" s="34" t="n">
        <x:v>7</x:v>
      </x:c>
      <x:c r="AC215" t="str"/>
    </x:row>
    <x:row r="216">
      <x:c r="A216" s="34" t="n">
        <x:v>215</x:v>
      </x:c>
      <x:c r="B216" s="34" t="n">
        <x:v>127</x:v>
      </x:c>
      <x:c r="C216" s="32" t="n">
        <x:v>46066</x:v>
      </x:c>
      <x:c r="D216" t="str">
        <x:v>2026-02</x:v>
      </x:c>
      <x:c r="E216" s="34" t="n">
        <x:v>60</x:v>
      </x:c>
      <x:c r="F216" t="str">
        <x:v>Mariana Araujo</x:v>
      </x:c>
      <x:c r="G216" t="str">
        <x:v>PR</x:v>
      </x:c>
      <x:c r="H216" t="str">
        <x:v>Curitiba</x:v>
      </x:c>
      <x:c r="I216" s="34" t="n">
        <x:v>19</x:v>
      </x:c>
      <x:c r="J216" t="str">
        <x:v>ENTREGUE</x:v>
      </x:c>
      <x:c r="K216" t="str">
        <x:v>Site</x:v>
      </x:c>
      <x:c r="L216" t="str">
        <x:v>Cartão crédito</x:v>
      </x:c>
      <x:c r="M216" s="34" t="n">
        <x:v>3</x:v>
      </x:c>
      <x:c r="N216" t="str">
        <x:v>Headset Gamer P2</x:v>
      </x:c>
      <x:c r="O216" t="str">
        <x:v>Periféricos</x:v>
      </x:c>
      <x:c r="P216" t="str">
        <x:v>FastHardware</x:v>
      </x:c>
      <x:c r="Q216" s="34" t="n">
        <x:v>1</x:v>
      </x:c>
      <x:c r="R216" s="36" t="n">
        <x:v>159.9</x:v>
      </x:c>
      <x:c r="S216" s="38" t="n">
        <x:v>0</x:v>
      </x:c>
      <x:c r="T216" s="36" t="n">
        <x:v>159.9</x:v>
      </x:c>
      <x:c r="U216" s="36" t="n">
        <x:v>159.9</x:v>
      </x:c>
      <x:c r="V216" s="36" t="n">
        <x:v>0</x:v>
      </x:c>
      <x:c r="W216" s="36" t="n">
        <x:v>159.9</x:v>
      </x:c>
      <x:c r="X216" s="36" t="n">
        <x:v>84</x:v>
      </x:c>
      <x:c r="Y216" s="36" t="n">
        <x:v>75.9</x:v>
      </x:c>
      <x:c r="Z216" s="38" t="n">
        <x:v>0.4747</x:v>
      </x:c>
      <x:c r="AA216" s="36" t="n">
        <x:v>22.32</x:v>
      </x:c>
      <x:c r="AB216" s="34" t="n">
        <x:v>7</x:v>
      </x:c>
      <x:c r="AC216" t="str"/>
    </x:row>
    <x:row r="217">
      <x:c r="A217" s="34" t="n">
        <x:v>216</x:v>
      </x:c>
      <x:c r="B217" s="34" t="n">
        <x:v>127</x:v>
      </x:c>
      <x:c r="C217" s="32" t="n">
        <x:v>46066</x:v>
      </x:c>
      <x:c r="D217" t="str">
        <x:v>2026-02</x:v>
      </x:c>
      <x:c r="E217" s="34" t="n">
        <x:v>60</x:v>
      </x:c>
      <x:c r="F217" t="str">
        <x:v>Mariana Araujo</x:v>
      </x:c>
      <x:c r="G217" t="str">
        <x:v>PR</x:v>
      </x:c>
      <x:c r="H217" t="str">
        <x:v>Curitiba</x:v>
      </x:c>
      <x:c r="I217" s="34" t="n">
        <x:v>19</x:v>
      </x:c>
      <x:c r="J217" t="str">
        <x:v>ENTREGUE</x:v>
      </x:c>
      <x:c r="K217" t="str">
        <x:v>Site</x:v>
      </x:c>
      <x:c r="L217" t="str">
        <x:v>Cartão crédito</x:v>
      </x:c>
      <x:c r="M217" s="34" t="n">
        <x:v>6</x:v>
      </x:c>
      <x:c r="N217" t="str">
        <x:v>Cabo HDMI 2m</x:v>
      </x:c>
      <x:c r="O217" t="str">
        <x:v>Acessórios</x:v>
      </x:c>
      <x:c r="P217" t="str">
        <x:v>Prime Eletrônicos</x:v>
      </x:c>
      <x:c r="Q217" s="34" t="n">
        <x:v>1</x:v>
      </x:c>
      <x:c r="R217" s="36" t="n">
        <x:v>29.9</x:v>
      </x:c>
      <x:c r="S217" s="38" t="n">
        <x:v>0.05</x:v>
      </x:c>
      <x:c r="T217" s="36" t="n">
        <x:v>28.4</x:v>
      </x:c>
      <x:c r="U217" s="36" t="n">
        <x:v>29.9</x:v>
      </x:c>
      <x:c r="V217" s="36" t="n">
        <x:v>1.5</x:v>
      </x:c>
      <x:c r="W217" s="36" t="n">
        <x:v>28.4</x:v>
      </x:c>
      <x:c r="X217" s="36" t="n">
        <x:v>10</x:v>
      </x:c>
      <x:c r="Y217" s="36" t="n">
        <x:v>18.4</x:v>
      </x:c>
      <x:c r="Z217" s="38" t="n">
        <x:v>0.6479</x:v>
      </x:c>
      <x:c r="AA217" s="36" t="n">
        <x:v>22.32</x:v>
      </x:c>
      <x:c r="AB217" s="34" t="n">
        <x:v>7</x:v>
      </x:c>
      <x:c r="AC217" t="str"/>
    </x:row>
    <x:row r="218">
      <x:c r="A218" s="34" t="n">
        <x:v>217</x:v>
      </x:c>
      <x:c r="B218" s="34" t="n">
        <x:v>128</x:v>
      </x:c>
      <x:c r="C218" s="32" t="n">
        <x:v>46110</x:v>
      </x:c>
      <x:c r="D218" t="str">
        <x:v>2026-03</x:v>
      </x:c>
      <x:c r="E218" s="34" t="n">
        <x:v>18</x:v>
      </x:c>
      <x:c r="F218" t="str">
        <x:v>Thiago Nascimento</x:v>
      </x:c>
      <x:c r="G218" t="str">
        <x:v>PR</x:v>
      </x:c>
      <x:c r="H218" t="str">
        <x:v>Curitiba</x:v>
      </x:c>
      <x:c r="I218" s="34" t="n">
        <x:v>30</x:v>
      </x:c>
      <x:c r="J218" t="str">
        <x:v>ENTREGUE</x:v>
      </x:c>
      <x:c r="K218" t="str">
        <x:v>WhatsApp</x:v>
      </x:c>
      <x:c r="L218" t="str">
        <x:v>Cartão crédito</x:v>
      </x:c>
      <x:c r="M218" s="34" t="n">
        <x:v>5</x:v>
      </x:c>
      <x:c r="N218" t="str">
        <x:v>Mousepad Grande</x:v>
      </x:c>
      <x:c r="O218" t="str">
        <x:v>Acessórios</x:v>
      </x:c>
      <x:c r="P218" t="str">
        <x:v>Prime Eletrônicos</x:v>
      </x:c>
      <x:c r="Q218" s="34" t="n">
        <x:v>2</x:v>
      </x:c>
      <x:c r="R218" s="36" t="n">
        <x:v>39.9</x:v>
      </x:c>
      <x:c r="S218" s="38" t="n">
        <x:v>0</x:v>
      </x:c>
      <x:c r="T218" s="36" t="n">
        <x:v>39.9</x:v>
      </x:c>
      <x:c r="U218" s="36" t="n">
        <x:v>79.8</x:v>
      </x:c>
      <x:c r="V218" s="36" t="n">
        <x:v>0</x:v>
      </x:c>
      <x:c r="W218" s="36" t="n">
        <x:v>79.8</x:v>
      </x:c>
      <x:c r="X218" s="36" t="n">
        <x:v>34</x:v>
      </x:c>
      <x:c r="Y218" s="36" t="n">
        <x:v>45.8</x:v>
      </x:c>
      <x:c r="Z218" s="38" t="n">
        <x:v>0.5739</x:v>
      </x:c>
      <x:c r="AA218" s="36" t="n">
        <x:v>12</x:v>
      </x:c>
      <x:c r="AB218" s="34" t="n">
        <x:v>5</x:v>
      </x:c>
      <x:c r="AC218" t="str"/>
    </x:row>
    <x:row r="219">
      <x:c r="A219" s="34" t="n">
        <x:v>218</x:v>
      </x:c>
      <x:c r="B219" s="34" t="n">
        <x:v>129</x:v>
      </x:c>
      <x:c r="C219" s="32" t="n">
        <x:v>46106</x:v>
      </x:c>
      <x:c r="D219" t="str">
        <x:v>2026-03</x:v>
      </x:c>
      <x:c r="E219" s="34" t="n">
        <x:v>24</x:v>
      </x:c>
      <x:c r="F219" t="str">
        <x:v>Gabriela Nascimento</x:v>
      </x:c>
      <x:c r="G219" t="str">
        <x:v>SP</x:v>
      </x:c>
      <x:c r="H219" t="str">
        <x:v>Votuporanga</x:v>
      </x:c>
      <x:c r="I219" s="34" t="n">
        <x:v>29</x:v>
      </x:c>
      <x:c r="J219" t="str">
        <x:v>ENTREGUE</x:v>
      </x:c>
      <x:c r="K219" t="str">
        <x:v>WhatsApp</x:v>
      </x:c>
      <x:c r="L219" t="str">
        <x:v>Pix</x:v>
      </x:c>
      <x:c r="M219" s="34" t="n">
        <x:v>18</x:v>
      </x:c>
      <x:c r="N219" t="str">
        <x:v>Cooler para Processador</x:v>
      </x:c>
      <x:c r="O219" t="str">
        <x:v>Componentes</x:v>
      </x:c>
      <x:c r="P219" t="str">
        <x:v>Mega Componentes</x:v>
      </x:c>
      <x:c r="Q219" s="34" t="n">
        <x:v>2</x:v>
      </x:c>
      <x:c r="R219" s="36" t="n">
        <x:v>99.9</x:v>
      </x:c>
      <x:c r="S219" s="38" t="n">
        <x:v>0</x:v>
      </x:c>
      <x:c r="T219" s="36" t="n">
        <x:v>99.9</x:v>
      </x:c>
      <x:c r="U219" s="36" t="n">
        <x:v>199.8</x:v>
      </x:c>
      <x:c r="V219" s="36" t="n">
        <x:v>0</x:v>
      </x:c>
      <x:c r="W219" s="36" t="n">
        <x:v>199.8</x:v>
      </x:c>
      <x:c r="X219" s="36" t="n">
        <x:v>92</x:v>
      </x:c>
      <x:c r="Y219" s="36" t="n">
        <x:v>107.8</x:v>
      </x:c>
      <x:c r="Z219" s="38" t="n">
        <x:v>0.5395</x:v>
      </x:c>
      <x:c r="AA219" s="36" t="n">
        <x:v>16.95</x:v>
      </x:c>
      <x:c r="AB219" s="34" t="n">
        <x:v>4</x:v>
      </x:c>
      <x:c r="AC219" t="str"/>
    </x:row>
    <x:row r="220">
      <x:c r="A220" s="34" t="n">
        <x:v>219</x:v>
      </x:c>
      <x:c r="B220" s="34" t="n">
        <x:v>129</x:v>
      </x:c>
      <x:c r="C220" s="32" t="n">
        <x:v>46106</x:v>
      </x:c>
      <x:c r="D220" t="str">
        <x:v>2026-03</x:v>
      </x:c>
      <x:c r="E220" s="34" t="n">
        <x:v>24</x:v>
      </x:c>
      <x:c r="F220" t="str">
        <x:v>Gabriela Nascimento</x:v>
      </x:c>
      <x:c r="G220" t="str">
        <x:v>SP</x:v>
      </x:c>
      <x:c r="H220" t="str">
        <x:v>Votuporanga</x:v>
      </x:c>
      <x:c r="I220" s="34" t="n">
        <x:v>29</x:v>
      </x:c>
      <x:c r="J220" t="str">
        <x:v>ENTREGUE</x:v>
      </x:c>
      <x:c r="K220" t="str">
        <x:v>WhatsApp</x:v>
      </x:c>
      <x:c r="L220" t="str">
        <x:v>Pix</x:v>
      </x:c>
      <x:c r="M220" s="34" t="n">
        <x:v>8</x:v>
      </x:c>
      <x:c r="N220" t="str">
        <x:v>Suporte Articulado para Monitor</x:v>
      </x:c>
      <x:c r="O220" t="str">
        <x:v>Acessórios</x:v>
      </x:c>
      <x:c r="P220" t="str">
        <x:v>OfficeTech Supply</x:v>
      </x:c>
      <x:c r="Q220" s="34" t="n">
        <x:v>1</x:v>
      </x:c>
      <x:c r="R220" s="36" t="n">
        <x:v>149.9</x:v>
      </x:c>
      <x:c r="S220" s="38" t="n">
        <x:v>0.08</x:v>
      </x:c>
      <x:c r="T220" s="36" t="n">
        <x:v>137.91</x:v>
      </x:c>
      <x:c r="U220" s="36" t="n">
        <x:v>149.9</x:v>
      </x:c>
      <x:c r="V220" s="36" t="n">
        <x:v>11.99</x:v>
      </x:c>
      <x:c r="W220" s="36" t="n">
        <x:v>137.91</x:v>
      </x:c>
      <x:c r="X220" s="36" t="n">
        <x:v>73</x:v>
      </x:c>
      <x:c r="Y220" s="36" t="n">
        <x:v>64.91</x:v>
      </x:c>
      <x:c r="Z220" s="38" t="n">
        <x:v>0.4707</x:v>
      </x:c>
      <x:c r="AA220" s="36" t="n">
        <x:v>16.95</x:v>
      </x:c>
      <x:c r="AB220" s="34" t="n">
        <x:v>4</x:v>
      </x:c>
      <x:c r="AC220" t="str"/>
    </x:row>
    <x:row r="221">
      <x:c r="A221" s="34" t="n">
        <x:v>220</x:v>
      </x:c>
      <x:c r="B221" s="34" t="n">
        <x:v>130</x:v>
      </x:c>
      <x:c r="C221" s="32" t="n">
        <x:v>46176</x:v>
      </x:c>
      <x:c r="D221" t="str">
        <x:v>2026-06</x:v>
      </x:c>
      <x:c r="E221" s="34" t="n">
        <x:v>56</x:v>
      </x:c>
      <x:c r="F221" t="str">
        <x:v>Olívia Lima</x:v>
      </x:c>
      <x:c r="G221" t="str">
        <x:v>SC</x:v>
      </x:c>
      <x:c r="H221" t="str">
        <x:v>Florianópolis</x:v>
      </x:c>
      <x:c r="I221" s="34" t="n">
        <x:v>53</x:v>
      </x:c>
      <x:c r="J221" t="str">
        <x:v>PENDENTE</x:v>
      </x:c>
      <x:c r="K221" t="str">
        <x:v>Site</x:v>
      </x:c>
      <x:c r="L221" t="str">
        <x:v>Pix</x:v>
      </x:c>
      <x:c r="M221" s="34" t="n">
        <x:v>20</x:v>
      </x:c>
      <x:c r="N221" t="str">
        <x:v>Monitor IPS 24"</x:v>
      </x:c>
      <x:c r="O221" t="str">
        <x:v>Monitores</x:v>
      </x:c>
      <x:c r="P221" t="str">
        <x:v>Brasil Monitores</x:v>
      </x:c>
      <x:c r="Q221" s="34" t="n">
        <x:v>1</x:v>
      </x:c>
      <x:c r="R221" s="36" t="n">
        <x:v>899.9</x:v>
      </x:c>
      <x:c r="S221" s="38" t="n">
        <x:v>0</x:v>
      </x:c>
      <x:c r="T221" s="36" t="n">
        <x:v>899.9</x:v>
      </x:c>
      <x:c r="U221" s="36" t="n">
        <x:v>899.9</x:v>
      </x:c>
      <x:c r="V221" s="36" t="n">
        <x:v>0</x:v>
      </x:c>
      <x:c r="W221" s="36" t="n">
        <x:v>899.9</x:v>
      </x:c>
      <x:c r="X221" s="36" t="n">
        <x:v>665</x:v>
      </x:c>
      <x:c r="Y221" s="36" t="n">
        <x:v>234.9</x:v>
      </x:c>
      <x:c r="Z221" s="38" t="n">
        <x:v>0.261</x:v>
      </x:c>
      <x:c r="AA221" s="36" t="n">
        <x:v>13.14</x:v>
      </x:c>
      <x:c r="AB221" s="34"/>
      <x:c r="AC221" t="str"/>
    </x:row>
    <x:row r="222">
      <x:c r="A222" s="34" t="n">
        <x:v>221</x:v>
      </x:c>
      <x:c r="B222" s="34" t="n">
        <x:v>130</x:v>
      </x:c>
      <x:c r="C222" s="32" t="n">
        <x:v>46176</x:v>
      </x:c>
      <x:c r="D222" t="str">
        <x:v>2026-06</x:v>
      </x:c>
      <x:c r="E222" s="34" t="n">
        <x:v>56</x:v>
      </x:c>
      <x:c r="F222" t="str">
        <x:v>Olívia Lima</x:v>
      </x:c>
      <x:c r="G222" t="str">
        <x:v>SC</x:v>
      </x:c>
      <x:c r="H222" t="str">
        <x:v>Florianópolis</x:v>
      </x:c>
      <x:c r="I222" s="34" t="n">
        <x:v>53</x:v>
      </x:c>
      <x:c r="J222" t="str">
        <x:v>PENDENTE</x:v>
      </x:c>
      <x:c r="K222" t="str">
        <x:v>Site</x:v>
      </x:c>
      <x:c r="L222" t="str">
        <x:v>Pix</x:v>
      </x:c>
      <x:c r="M222" s="34" t="n">
        <x:v>5</x:v>
      </x:c>
      <x:c r="N222" t="str">
        <x:v>Mousepad Grande</x:v>
      </x:c>
      <x:c r="O222" t="str">
        <x:v>Acessórios</x:v>
      </x:c>
      <x:c r="P222" t="str">
        <x:v>Prime Eletrônicos</x:v>
      </x:c>
      <x:c r="Q222" s="34" t="n">
        <x:v>1</x:v>
      </x:c>
      <x:c r="R222" s="36" t="n">
        <x:v>39.9</x:v>
      </x:c>
      <x:c r="S222" s="38" t="n">
        <x:v>0</x:v>
      </x:c>
      <x:c r="T222" s="36" t="n">
        <x:v>39.9</x:v>
      </x:c>
      <x:c r="U222" s="36" t="n">
        <x:v>39.9</x:v>
      </x:c>
      <x:c r="V222" s="36" t="n">
        <x:v>0</x:v>
      </x:c>
      <x:c r="W222" s="36" t="n">
        <x:v>39.9</x:v>
      </x:c>
      <x:c r="X222" s="36" t="n">
        <x:v>17</x:v>
      </x:c>
      <x:c r="Y222" s="36" t="n">
        <x:v>22.9</x:v>
      </x:c>
      <x:c r="Z222" s="38" t="n">
        <x:v>0.5739</x:v>
      </x:c>
      <x:c r="AA222" s="36" t="n">
        <x:v>13.14</x:v>
      </x:c>
      <x:c r="AB222" s="34"/>
      <x:c r="AC222" t="str"/>
    </x:row>
    <x:row r="223">
      <x:c r="A223" s="34" t="n">
        <x:v>222</x:v>
      </x:c>
      <x:c r="B223" s="34" t="n">
        <x:v>130</x:v>
      </x:c>
      <x:c r="C223" s="32" t="n">
        <x:v>46176</x:v>
      </x:c>
      <x:c r="D223" t="str">
        <x:v>2026-06</x:v>
      </x:c>
      <x:c r="E223" s="34" t="n">
        <x:v>56</x:v>
      </x:c>
      <x:c r="F223" t="str">
        <x:v>Olívia Lima</x:v>
      </x:c>
      <x:c r="G223" t="str">
        <x:v>SC</x:v>
      </x:c>
      <x:c r="H223" t="str">
        <x:v>Florianópolis</x:v>
      </x:c>
      <x:c r="I223" s="34" t="n">
        <x:v>53</x:v>
      </x:c>
      <x:c r="J223" t="str">
        <x:v>PENDENTE</x:v>
      </x:c>
      <x:c r="K223" t="str">
        <x:v>Site</x:v>
      </x:c>
      <x:c r="L223" t="str">
        <x:v>Pix</x:v>
      </x:c>
      <x:c r="M223" s="34" t="n">
        <x:v>25</x:v>
      </x:c>
      <x:c r="N223" t="str">
        <x:v>Roteador Wi-Fi AC1200</x:v>
      </x:c>
      <x:c r="O223" t="str">
        <x:v>Rede</x:v>
      </x:c>
      <x:c r="P223" t="str">
        <x:v>Connect Rede</x:v>
      </x:c>
      <x:c r="Q223" s="34" t="n">
        <x:v>1</x:v>
      </x:c>
      <x:c r="R223" s="36" t="n">
        <x:v>249.9</x:v>
      </x:c>
      <x:c r="S223" s="38" t="n">
        <x:v>0</x:v>
      </x:c>
      <x:c r="T223" s="36" t="n">
        <x:v>249.9</x:v>
      </x:c>
      <x:c r="U223" s="36" t="n">
        <x:v>249.9</x:v>
      </x:c>
      <x:c r="V223" s="36" t="n">
        <x:v>0</x:v>
      </x:c>
      <x:c r="W223" s="36" t="n">
        <x:v>249.9</x:v>
      </x:c>
      <x:c r="X223" s="36" t="n">
        <x:v>145</x:v>
      </x:c>
      <x:c r="Y223" s="36" t="n">
        <x:v>104.9</x:v>
      </x:c>
      <x:c r="Z223" s="38" t="n">
        <x:v>0.4198</x:v>
      </x:c>
      <x:c r="AA223" s="36" t="n">
        <x:v>13.14</x:v>
      </x:c>
      <x:c r="AB223" s="34"/>
      <x:c r="AC223" t="str"/>
    </x:row>
    <x:row r="224">
      <x:c r="A224" s="34" t="n">
        <x:v>223</x:v>
      </x:c>
      <x:c r="B224" s="34" t="n">
        <x:v>130</x:v>
      </x:c>
      <x:c r="C224" s="32" t="n">
        <x:v>46176</x:v>
      </x:c>
      <x:c r="D224" t="str">
        <x:v>2026-06</x:v>
      </x:c>
      <x:c r="E224" s="34" t="n">
        <x:v>56</x:v>
      </x:c>
      <x:c r="F224" t="str">
        <x:v>Olívia Lima</x:v>
      </x:c>
      <x:c r="G224" t="str">
        <x:v>SC</x:v>
      </x:c>
      <x:c r="H224" t="str">
        <x:v>Florianópolis</x:v>
      </x:c>
      <x:c r="I224" s="34" t="n">
        <x:v>53</x:v>
      </x:c>
      <x:c r="J224" t="str">
        <x:v>PENDENTE</x:v>
      </x:c>
      <x:c r="K224" t="str">
        <x:v>Site</x:v>
      </x:c>
      <x:c r="L224" t="str">
        <x:v>Pix</x:v>
      </x:c>
      <x:c r="M224" s="34" t="n">
        <x:v>12</x:v>
      </x:c>
      <x:c r="N224" t="str">
        <x:v>HD Externo 1TB</x:v>
      </x:c>
      <x:c r="O224" t="str">
        <x:v>Armazenamento</x:v>
      </x:c>
      <x:c r="P224" t="str">
        <x:v>InfoMax Atacado</x:v>
      </x:c>
      <x:c r="Q224" s="34" t="n">
        <x:v>2</x:v>
      </x:c>
      <x:c r="R224" s="36" t="n">
        <x:v>369.9</x:v>
      </x:c>
      <x:c r="S224" s="38" t="n">
        <x:v>0</x:v>
      </x:c>
      <x:c r="T224" s="36" t="n">
        <x:v>369.9</x:v>
      </x:c>
      <x:c r="U224" s="36" t="n">
        <x:v>739.8</x:v>
      </x:c>
      <x:c r="V224" s="36" t="n">
        <x:v>0</x:v>
      </x:c>
      <x:c r="W224" s="36" t="n">
        <x:v>739.8</x:v>
      </x:c>
      <x:c r="X224" s="36" t="n">
        <x:v>492</x:v>
      </x:c>
      <x:c r="Y224" s="36" t="n">
        <x:v>247.8</x:v>
      </x:c>
      <x:c r="Z224" s="38" t="n">
        <x:v>0.335</x:v>
      </x:c>
      <x:c r="AA224" s="36" t="n">
        <x:v>13.14</x:v>
      </x:c>
      <x:c r="AB224" s="34"/>
      <x:c r="AC224" t="str"/>
    </x:row>
    <x:row r="225">
      <x:c r="A225" s="34" t="n">
        <x:v>224</x:v>
      </x:c>
      <x:c r="B225" s="34" t="n">
        <x:v>131</x:v>
      </x:c>
      <x:c r="C225" s="32" t="n">
        <x:v>46032</x:v>
      </x:c>
      <x:c r="D225" t="str">
        <x:v>2026-01</x:v>
      </x:c>
      <x:c r="E225" s="34" t="n">
        <x:v>55</x:v>
      </x:c>
      <x:c r="F225" t="str">
        <x:v>Henrique Araujo</x:v>
      </x:c>
      <x:c r="G225" t="str">
        <x:v>GO</x:v>
      </x:c>
      <x:c r="H225" t="str">
        <x:v>Anápolis</x:v>
      </x:c>
      <x:c r="I225" s="34" t="n">
        <x:v>26</x:v>
      </x:c>
      <x:c r="J225" t="str">
        <x:v>ENTREGUE</x:v>
      </x:c>
      <x:c r="K225" t="str">
        <x:v>Site</x:v>
      </x:c>
      <x:c r="L225" t="str">
        <x:v>Cartão crédito</x:v>
      </x:c>
      <x:c r="M225" s="34" t="n">
        <x:v>27</x:v>
      </x:c>
      <x:c r="N225" t="str">
        <x:v>Placa de Rede PCIe</x:v>
      </x:c>
      <x:c r="O225" t="str">
        <x:v>Rede</x:v>
      </x:c>
      <x:c r="P225" t="str">
        <x:v>Connect Rede</x:v>
      </x:c>
      <x:c r="Q225" s="34" t="n">
        <x:v>2</x:v>
      </x:c>
      <x:c r="R225" s="36" t="n">
        <x:v>79.9</x:v>
      </x:c>
      <x:c r="S225" s="38" t="n">
        <x:v>0</x:v>
      </x:c>
      <x:c r="T225" s="36" t="n">
        <x:v>79.9</x:v>
      </x:c>
      <x:c r="U225" s="36" t="n">
        <x:v>159.8</x:v>
      </x:c>
      <x:c r="V225" s="36" t="n">
        <x:v>0</x:v>
      </x:c>
      <x:c r="W225" s="36" t="n">
        <x:v>159.8</x:v>
      </x:c>
      <x:c r="X225" s="36" t="n">
        <x:v>74</x:v>
      </x:c>
      <x:c r="Y225" s="36" t="n">
        <x:v>85.8</x:v>
      </x:c>
      <x:c r="Z225" s="38" t="n">
        <x:v>0.5369</x:v>
      </x:c>
      <x:c r="AA225" s="36" t="n">
        <x:v>41.76</x:v>
      </x:c>
      <x:c r="AB225" s="34" t="n">
        <x:v>5</x:v>
      </x:c>
      <x:c r="AC225" t="str"/>
    </x:row>
    <x:row r="226">
      <x:c r="A226" s="34" t="n">
        <x:v>225</x:v>
      </x:c>
      <x:c r="B226" s="34" t="n">
        <x:v>131</x:v>
      </x:c>
      <x:c r="C226" s="32" t="n">
        <x:v>46032</x:v>
      </x:c>
      <x:c r="D226" t="str">
        <x:v>2026-01</x:v>
      </x:c>
      <x:c r="E226" s="34" t="n">
        <x:v>55</x:v>
      </x:c>
      <x:c r="F226" t="str">
        <x:v>Henrique Araujo</x:v>
      </x:c>
      <x:c r="G226" t="str">
        <x:v>GO</x:v>
      </x:c>
      <x:c r="H226" t="str">
        <x:v>Anápolis</x:v>
      </x:c>
      <x:c r="I226" s="34" t="n">
        <x:v>26</x:v>
      </x:c>
      <x:c r="J226" t="str">
        <x:v>ENTREGUE</x:v>
      </x:c>
      <x:c r="K226" t="str">
        <x:v>Site</x:v>
      </x:c>
      <x:c r="L226" t="str">
        <x:v>Cartão crédito</x:v>
      </x:c>
      <x:c r="M226" s="34" t="n">
        <x:v>25</x:v>
      </x:c>
      <x:c r="N226" t="str">
        <x:v>Roteador Wi-Fi AC1200</x:v>
      </x:c>
      <x:c r="O226" t="str">
        <x:v>Rede</x:v>
      </x:c>
      <x:c r="P226" t="str">
        <x:v>Connect Rede</x:v>
      </x:c>
      <x:c r="Q226" s="34" t="n">
        <x:v>1</x:v>
      </x:c>
      <x:c r="R226" s="36" t="n">
        <x:v>249.9</x:v>
      </x:c>
      <x:c r="S226" s="38" t="n">
        <x:v>0</x:v>
      </x:c>
      <x:c r="T226" s="36" t="n">
        <x:v>249.9</x:v>
      </x:c>
      <x:c r="U226" s="36" t="n">
        <x:v>249.9</x:v>
      </x:c>
      <x:c r="V226" s="36" t="n">
        <x:v>0</x:v>
      </x:c>
      <x:c r="W226" s="36" t="n">
        <x:v>249.9</x:v>
      </x:c>
      <x:c r="X226" s="36" t="n">
        <x:v>145</x:v>
      </x:c>
      <x:c r="Y226" s="36" t="n">
        <x:v>104.9</x:v>
      </x:c>
      <x:c r="Z226" s="38" t="n">
        <x:v>0.4198</x:v>
      </x:c>
      <x:c r="AA226" s="36" t="n">
        <x:v>41.76</x:v>
      </x:c>
      <x:c r="AB226" s="34" t="n">
        <x:v>5</x:v>
      </x:c>
      <x:c r="AC226" t="str"/>
    </x:row>
    <x:row r="227">
      <x:c r="A227" s="34" t="n">
        <x:v>226</x:v>
      </x:c>
      <x:c r="B227" s="34" t="n">
        <x:v>132</x:v>
      </x:c>
      <x:c r="C227" s="32" t="n">
        <x:v>46178</x:v>
      </x:c>
      <x:c r="D227" t="str">
        <x:v>2026-06</x:v>
      </x:c>
      <x:c r="E227" s="34" t="n">
        <x:v>54</x:v>
      </x:c>
      <x:c r="F227" t="str">
        <x:v>Eduarda Gomes</x:v>
      </x:c>
      <x:c r="G227" t="str">
        <x:v>RJ</x:v>
      </x:c>
      <x:c r="H227" t="str">
        <x:v>Rio de Janeiro</x:v>
      </x:c>
      <x:c r="I227" s="34" t="n">
        <x:v>45</x:v>
      </x:c>
      <x:c r="J227" t="str">
        <x:v>EM PROCESSAMENTO</x:v>
      </x:c>
      <x:c r="K227" t="str">
        <x:v>WhatsApp</x:v>
      </x:c>
      <x:c r="L227" t="str">
        <x:v>Pix</x:v>
      </x:c>
      <x:c r="M227" s="34" t="n">
        <x:v>9</x:v>
      </x:c>
      <x:c r="N227" t="str">
        <x:v>SSD 240GB SATA</x:v>
      </x:c>
      <x:c r="O227" t="str">
        <x:v>Armazenamento</x:v>
      </x:c>
      <x:c r="P227" t="str">
        <x:v>Mega Componentes</x:v>
      </x:c>
      <x:c r="Q227" s="34" t="n">
        <x:v>1</x:v>
      </x:c>
      <x:c r="R227" s="36" t="n">
        <x:v>169.9</x:v>
      </x:c>
      <x:c r="S227" s="38" t="n">
        <x:v>0</x:v>
      </x:c>
      <x:c r="T227" s="36" t="n">
        <x:v>169.9</x:v>
      </x:c>
      <x:c r="U227" s="36" t="n">
        <x:v>169.9</x:v>
      </x:c>
      <x:c r="V227" s="36" t="n">
        <x:v>0</x:v>
      </x:c>
      <x:c r="W227" s="36" t="n">
        <x:v>169.9</x:v>
      </x:c>
      <x:c r="X227" s="36" t="n">
        <x:v>98</x:v>
      </x:c>
      <x:c r="Y227" s="36" t="n">
        <x:v>71.9</x:v>
      </x:c>
      <x:c r="Z227" s="38" t="n">
        <x:v>0.4232</x:v>
      </x:c>
      <x:c r="AA227" s="36" t="n">
        <x:v>14.12</x:v>
      </x:c>
      <x:c r="AB227" s="34"/>
      <x:c r="AC227" t="str"/>
    </x:row>
    <x:row r="228">
      <x:c r="A228" s="34" t="n">
        <x:v>227</x:v>
      </x:c>
      <x:c r="B228" s="34" t="n">
        <x:v>132</x:v>
      </x:c>
      <x:c r="C228" s="32" t="n">
        <x:v>46178</x:v>
      </x:c>
      <x:c r="D228" t="str">
        <x:v>2026-06</x:v>
      </x:c>
      <x:c r="E228" s="34" t="n">
        <x:v>54</x:v>
      </x:c>
      <x:c r="F228" t="str">
        <x:v>Eduarda Gomes</x:v>
      </x:c>
      <x:c r="G228" t="str">
        <x:v>RJ</x:v>
      </x:c>
      <x:c r="H228" t="str">
        <x:v>Rio de Janeiro</x:v>
      </x:c>
      <x:c r="I228" s="34" t="n">
        <x:v>45</x:v>
      </x:c>
      <x:c r="J228" t="str">
        <x:v>EM PROCESSAMENTO</x:v>
      </x:c>
      <x:c r="K228" t="str">
        <x:v>WhatsApp</x:v>
      </x:c>
      <x:c r="L228" t="str">
        <x:v>Pix</x:v>
      </x:c>
      <x:c r="M228" s="34" t="n">
        <x:v>11</x:v>
      </x:c>
      <x:c r="N228" t="str">
        <x:v>SSD NVMe 500GB</x:v>
      </x:c>
      <x:c r="O228" t="str">
        <x:v>Armazenamento</x:v>
      </x:c>
      <x:c r="P228" t="str">
        <x:v>FastHardware</x:v>
      </x:c>
      <x:c r="Q228" s="34" t="n">
        <x:v>3</x:v>
      </x:c>
      <x:c r="R228" s="36" t="n">
        <x:v>329.9</x:v>
      </x:c>
      <x:c r="S228" s="38" t="n">
        <x:v>0</x:v>
      </x:c>
      <x:c r="T228" s="36" t="n">
        <x:v>329.9</x:v>
      </x:c>
      <x:c r="U228" s="36" t="n">
        <x:v>989.7</x:v>
      </x:c>
      <x:c r="V228" s="36" t="n">
        <x:v>0</x:v>
      </x:c>
      <x:c r="W228" s="36" t="n">
        <x:v>989.7</x:v>
      </x:c>
      <x:c r="X228" s="36" t="n">
        <x:v>615</x:v>
      </x:c>
      <x:c r="Y228" s="36" t="n">
        <x:v>374.7</x:v>
      </x:c>
      <x:c r="Z228" s="38" t="n">
        <x:v>0.3786</x:v>
      </x:c>
      <x:c r="AA228" s="36" t="n">
        <x:v>14.12</x:v>
      </x:c>
      <x:c r="AB228" s="34"/>
      <x:c r="AC228" t="str"/>
    </x:row>
    <x:row r="229">
      <x:c r="A229" s="34" t="n">
        <x:v>228</x:v>
      </x:c>
      <x:c r="B229" s="34" t="n">
        <x:v>133</x:v>
      </x:c>
      <x:c r="C229" s="32" t="n">
        <x:v>46116</x:v>
      </x:c>
      <x:c r="D229" t="str">
        <x:v>2026-04</x:v>
      </x:c>
      <x:c r="E229" s="34" t="n">
        <x:v>21</x:v>
      </x:c>
      <x:c r="F229" t="str">
        <x:v>Henrique Pereira</x:v>
      </x:c>
      <x:c r="G229" t="str">
        <x:v>RJ</x:v>
      </x:c>
      <x:c r="H229" t="str">
        <x:v>Rio de Janeiro</x:v>
      </x:c>
      <x:c r="I229" s="34" t="n">
        <x:v>52</x:v>
      </x:c>
      <x:c r="J229" t="str">
        <x:v>CANCELADO</x:v>
      </x:c>
      <x:c r="K229" t="str">
        <x:v>WhatsApp</x:v>
      </x:c>
      <x:c r="L229" t="str">
        <x:v>Pix</x:v>
      </x:c>
      <x:c r="M229" s="34" t="n">
        <x:v>26</x:v>
      </x:c>
      <x:c r="N229" t="str">
        <x:v>Switch 8 Portas Gigabit</x:v>
      </x:c>
      <x:c r="O229" t="str">
        <x:v>Rede</x:v>
      </x:c>
      <x:c r="P229" t="str">
        <x:v>Connect Rede</x:v>
      </x:c>
      <x:c r="Q229" s="34" t="n">
        <x:v>1</x:v>
      </x:c>
      <x:c r="R229" s="36" t="n">
        <x:v>189.9</x:v>
      </x:c>
      <x:c r="S229" s="38" t="n">
        <x:v>0.03</x:v>
      </x:c>
      <x:c r="T229" s="36" t="n">
        <x:v>184.2</x:v>
      </x:c>
      <x:c r="U229" s="36" t="n">
        <x:v>189.9</x:v>
      </x:c>
      <x:c r="V229" s="36" t="n">
        <x:v>5.7</x:v>
      </x:c>
      <x:c r="W229" s="36" t="n">
        <x:v>0</x:v>
      </x:c>
      <x:c r="X229" s="36" t="n">
        <x:v>103</x:v>
      </x:c>
      <x:c r="Y229" s="36" t="n">
        <x:v>0</x:v>
      </x:c>
      <x:c r="Z229" s="38" t="n">
        <x:v>0</x:v>
      </x:c>
      <x:c r="AA229" s="36" t="n">
        <x:v>12.07</x:v>
      </x:c>
      <x:c r="AB229" s="34"/>
      <x:c r="AC229" t="str">
        <x:v>Falha na aprovação do pedido</x:v>
      </x:c>
    </x:row>
    <x:row r="230">
      <x:c r="A230" s="34" t="n">
        <x:v>229</x:v>
      </x:c>
      <x:c r="B230" s="34" t="n">
        <x:v>133</x:v>
      </x:c>
      <x:c r="C230" s="32" t="n">
        <x:v>46116</x:v>
      </x:c>
      <x:c r="D230" t="str">
        <x:v>2026-04</x:v>
      </x:c>
      <x:c r="E230" s="34" t="n">
        <x:v>21</x:v>
      </x:c>
      <x:c r="F230" t="str">
        <x:v>Henrique Pereira</x:v>
      </x:c>
      <x:c r="G230" t="str">
        <x:v>RJ</x:v>
      </x:c>
      <x:c r="H230" t="str">
        <x:v>Rio de Janeiro</x:v>
      </x:c>
      <x:c r="I230" s="34" t="n">
        <x:v>52</x:v>
      </x:c>
      <x:c r="J230" t="str">
        <x:v>CANCELADO</x:v>
      </x:c>
      <x:c r="K230" t="str">
        <x:v>WhatsApp</x:v>
      </x:c>
      <x:c r="L230" t="str">
        <x:v>Pix</x:v>
      </x:c>
      <x:c r="M230" s="34" t="n">
        <x:v>2</x:v>
      </x:c>
      <x:c r="N230" t="str">
        <x:v>Teclado Membrana ABNT2</x:v>
      </x:c>
      <x:c r="O230" t="str">
        <x:v>Periféricos</x:v>
      </x:c>
      <x:c r="P230" t="str">
        <x:v>TechDistribuidora Brasil</x:v>
      </x:c>
      <x:c r="Q230" s="34" t="n">
        <x:v>1</x:v>
      </x:c>
      <x:c r="R230" s="36" t="n">
        <x:v>89.9</x:v>
      </x:c>
      <x:c r="S230" s="38" t="n">
        <x:v>0</x:v>
      </x:c>
      <x:c r="T230" s="36" t="n">
        <x:v>89.9</x:v>
      </x:c>
      <x:c r="U230" s="36" t="n">
        <x:v>89.9</x:v>
      </x:c>
      <x:c r="V230" s="36" t="n">
        <x:v>0</x:v>
      </x:c>
      <x:c r="W230" s="36" t="n">
        <x:v>0</x:v>
      </x:c>
      <x:c r="X230" s="36" t="n">
        <x:v>48</x:v>
      </x:c>
      <x:c r="Y230" s="36" t="n">
        <x:v>0</x:v>
      </x:c>
      <x:c r="Z230" s="38" t="n">
        <x:v>0</x:v>
      </x:c>
      <x:c r="AA230" s="36" t="n">
        <x:v>12.07</x:v>
      </x:c>
      <x:c r="AB230" s="34"/>
      <x:c r="AC230" t="str">
        <x:v>Falha na aprovação do pedido</x:v>
      </x:c>
    </x:row>
    <x:row r="231">
      <x:c r="A231" s="34" t="n">
        <x:v>230</x:v>
      </x:c>
      <x:c r="B231" s="34" t="n">
        <x:v>134</x:v>
      </x:c>
      <x:c r="C231" s="32" t="n">
        <x:v>46102</x:v>
      </x:c>
      <x:c r="D231" t="str">
        <x:v>2026-03</x:v>
      </x:c>
      <x:c r="E231" s="34" t="n">
        <x:v>18</x:v>
      </x:c>
      <x:c r="F231" t="str">
        <x:v>Thiago Nascimento</x:v>
      </x:c>
      <x:c r="G231" t="str">
        <x:v>PR</x:v>
      </x:c>
      <x:c r="H231" t="str">
        <x:v>Curitiba</x:v>
      </x:c>
      <x:c r="I231" s="34" t="n">
        <x:v>30</x:v>
      </x:c>
      <x:c r="J231" t="str">
        <x:v>ENVIADO</x:v>
      </x:c>
      <x:c r="K231" t="str">
        <x:v>Site</x:v>
      </x:c>
      <x:c r="L231" t="str">
        <x:v>Cartão débito</x:v>
      </x:c>
      <x:c r="M231" s="34" t="n">
        <x:v>5</x:v>
      </x:c>
      <x:c r="N231" t="str">
        <x:v>Mousepad Grande</x:v>
      </x:c>
      <x:c r="O231" t="str">
        <x:v>Acessórios</x:v>
      </x:c>
      <x:c r="P231" t="str">
        <x:v>Prime Eletrônicos</x:v>
      </x:c>
      <x:c r="Q231" s="34" t="n">
        <x:v>3</x:v>
      </x:c>
      <x:c r="R231" s="36" t="n">
        <x:v>39.9</x:v>
      </x:c>
      <x:c r="S231" s="38" t="n">
        <x:v>0</x:v>
      </x:c>
      <x:c r="T231" s="36" t="n">
        <x:v>39.9</x:v>
      </x:c>
      <x:c r="U231" s="36" t="n">
        <x:v>119.7</x:v>
      </x:c>
      <x:c r="V231" s="36" t="n">
        <x:v>0</x:v>
      </x:c>
      <x:c r="W231" s="36" t="n">
        <x:v>119.7</x:v>
      </x:c>
      <x:c r="X231" s="36" t="n">
        <x:v>51</x:v>
      </x:c>
      <x:c r="Y231" s="36" t="n">
        <x:v>68.7</x:v>
      </x:c>
      <x:c r="Z231" s="38" t="n">
        <x:v>0.5739</x:v>
      </x:c>
      <x:c r="AA231" s="36" t="n">
        <x:v>45.75</x:v>
      </x:c>
      <x:c r="AB231" s="34" t="n">
        <x:v>1</x:v>
      </x:c>
      <x:c r="AC231" t="str"/>
    </x:row>
    <x:row r="232">
      <x:c r="A232" s="34" t="n">
        <x:v>231</x:v>
      </x:c>
      <x:c r="B232" s="34" t="n">
        <x:v>135</x:v>
      </x:c>
      <x:c r="C232" s="32" t="n">
        <x:v>46122</x:v>
      </x:c>
      <x:c r="D232" t="str">
        <x:v>2026-04</x:v>
      </x:c>
      <x:c r="E232" s="34" t="n">
        <x:v>54</x:v>
      </x:c>
      <x:c r="F232" t="str">
        <x:v>Eduarda Gomes</x:v>
      </x:c>
      <x:c r="G232" t="str">
        <x:v>RJ</x:v>
      </x:c>
      <x:c r="H232" t="str">
        <x:v>Rio de Janeiro</x:v>
      </x:c>
      <x:c r="I232" s="34" t="n">
        <x:v>45</x:v>
      </x:c>
      <x:c r="J232" t="str">
        <x:v>ENTREGUE</x:v>
      </x:c>
      <x:c r="K232" t="str">
        <x:v>WhatsApp</x:v>
      </x:c>
      <x:c r="L232" t="str">
        <x:v>Pix</x:v>
      </x:c>
      <x:c r="M232" s="34" t="n">
        <x:v>2</x:v>
      </x:c>
      <x:c r="N232" t="str">
        <x:v>Teclado Membrana ABNT2</x:v>
      </x:c>
      <x:c r="O232" t="str">
        <x:v>Periféricos</x:v>
      </x:c>
      <x:c r="P232" t="str">
        <x:v>TechDistribuidora Brasil</x:v>
      </x:c>
      <x:c r="Q232" s="34" t="n">
        <x:v>1</x:v>
      </x:c>
      <x:c r="R232" s="36" t="n">
        <x:v>89.9</x:v>
      </x:c>
      <x:c r="S232" s="38" t="n">
        <x:v>0</x:v>
      </x:c>
      <x:c r="T232" s="36" t="n">
        <x:v>89.9</x:v>
      </x:c>
      <x:c r="U232" s="36" t="n">
        <x:v>89.9</x:v>
      </x:c>
      <x:c r="V232" s="36" t="n">
        <x:v>0</x:v>
      </x:c>
      <x:c r="W232" s="36" t="n">
        <x:v>89.9</x:v>
      </x:c>
      <x:c r="X232" s="36" t="n">
        <x:v>48</x:v>
      </x:c>
      <x:c r="Y232" s="36" t="n">
        <x:v>41.9</x:v>
      </x:c>
      <x:c r="Z232" s="38" t="n">
        <x:v>0.4661</x:v>
      </x:c>
      <x:c r="AA232" s="36" t="n">
        <x:v>64.74</x:v>
      </x:c>
      <x:c r="AB232" s="34" t="n">
        <x:v>5</x:v>
      </x:c>
      <x:c r="AC232" t="str"/>
    </x:row>
    <x:row r="233">
      <x:c r="A233" s="34" t="n">
        <x:v>232</x:v>
      </x:c>
      <x:c r="B233" s="34" t="n">
        <x:v>136</x:v>
      </x:c>
      <x:c r="C233" s="32" t="n">
        <x:v>46134</x:v>
      </x:c>
      <x:c r="D233" t="str">
        <x:v>2026-04</x:v>
      </x:c>
      <x:c r="E233" s="34" t="n">
        <x:v>11</x:v>
      </x:c>
      <x:c r="F233" t="str">
        <x:v>Felipe Martins</x:v>
      </x:c>
      <x:c r="G233" t="str">
        <x:v>RJ</x:v>
      </x:c>
      <x:c r="H233" t="str">
        <x:v>Rio de Janeiro</x:v>
      </x:c>
      <x:c r="I233" s="34" t="n">
        <x:v>42</x:v>
      </x:c>
      <x:c r="J233" t="str">
        <x:v>ENTREGUE</x:v>
      </x:c>
      <x:c r="K233" t="str">
        <x:v>Site</x:v>
      </x:c>
      <x:c r="L233" t="str">
        <x:v>Cartão crédito</x:v>
      </x:c>
      <x:c r="M233" s="34" t="n">
        <x:v>27</x:v>
      </x:c>
      <x:c r="N233" t="str">
        <x:v>Placa de Rede PCIe</x:v>
      </x:c>
      <x:c r="O233" t="str">
        <x:v>Rede</x:v>
      </x:c>
      <x:c r="P233" t="str">
        <x:v>Connect Rede</x:v>
      </x:c>
      <x:c r="Q233" s="34" t="n">
        <x:v>1</x:v>
      </x:c>
      <x:c r="R233" s="36" t="n">
        <x:v>79.9</x:v>
      </x:c>
      <x:c r="S233" s="38" t="n">
        <x:v>0</x:v>
      </x:c>
      <x:c r="T233" s="36" t="n">
        <x:v>79.9</x:v>
      </x:c>
      <x:c r="U233" s="36" t="n">
        <x:v>79.9</x:v>
      </x:c>
      <x:c r="V233" s="36" t="n">
        <x:v>0</x:v>
      </x:c>
      <x:c r="W233" s="36" t="n">
        <x:v>79.9</x:v>
      </x:c>
      <x:c r="X233" s="36" t="n">
        <x:v>37</x:v>
      </x:c>
      <x:c r="Y233" s="36" t="n">
        <x:v>42.9</x:v>
      </x:c>
      <x:c r="Z233" s="38" t="n">
        <x:v>0.5369</x:v>
      </x:c>
      <x:c r="AA233" s="36" t="n">
        <x:v>17.26</x:v>
      </x:c>
      <x:c r="AB233" s="34" t="n">
        <x:v>2</x:v>
      </x:c>
      <x:c r="AC233" t="str"/>
    </x:row>
    <x:row r="234">
      <x:c r="A234" s="34" t="n">
        <x:v>233</x:v>
      </x:c>
      <x:c r="B234" s="34" t="n">
        <x:v>136</x:v>
      </x:c>
      <x:c r="C234" s="32" t="n">
        <x:v>46134</x:v>
      </x:c>
      <x:c r="D234" t="str">
        <x:v>2026-04</x:v>
      </x:c>
      <x:c r="E234" s="34" t="n">
        <x:v>11</x:v>
      </x:c>
      <x:c r="F234" t="str">
        <x:v>Felipe Martins</x:v>
      </x:c>
      <x:c r="G234" t="str">
        <x:v>RJ</x:v>
      </x:c>
      <x:c r="H234" t="str">
        <x:v>Rio de Janeiro</x:v>
      </x:c>
      <x:c r="I234" s="34" t="n">
        <x:v>42</x:v>
      </x:c>
      <x:c r="J234" t="str">
        <x:v>ENTREGUE</x:v>
      </x:c>
      <x:c r="K234" t="str">
        <x:v>Site</x:v>
      </x:c>
      <x:c r="L234" t="str">
        <x:v>Cartão crédito</x:v>
      </x:c>
      <x:c r="M234" s="34" t="n">
        <x:v>2</x:v>
      </x:c>
      <x:c r="N234" t="str">
        <x:v>Teclado Membrana ABNT2</x:v>
      </x:c>
      <x:c r="O234" t="str">
        <x:v>Periféricos</x:v>
      </x:c>
      <x:c r="P234" t="str">
        <x:v>TechDistribuidora Brasil</x:v>
      </x:c>
      <x:c r="Q234" s="34" t="n">
        <x:v>1</x:v>
      </x:c>
      <x:c r="R234" s="36" t="n">
        <x:v>89.9</x:v>
      </x:c>
      <x:c r="S234" s="38" t="n">
        <x:v>0</x:v>
      </x:c>
      <x:c r="T234" s="36" t="n">
        <x:v>89.9</x:v>
      </x:c>
      <x:c r="U234" s="36" t="n">
        <x:v>89.9</x:v>
      </x:c>
      <x:c r="V234" s="36" t="n">
        <x:v>0</x:v>
      </x:c>
      <x:c r="W234" s="36" t="n">
        <x:v>89.9</x:v>
      </x:c>
      <x:c r="X234" s="36" t="n">
        <x:v>48</x:v>
      </x:c>
      <x:c r="Y234" s="36" t="n">
        <x:v>41.9</x:v>
      </x:c>
      <x:c r="Z234" s="38" t="n">
        <x:v>0.4661</x:v>
      </x:c>
      <x:c r="AA234" s="36" t="n">
        <x:v>17.26</x:v>
      </x:c>
      <x:c r="AB234" s="34" t="n">
        <x:v>2</x:v>
      </x:c>
      <x:c r="AC234" t="str"/>
    </x:row>
    <x:row r="235">
      <x:c r="A235" s="34" t="n">
        <x:v>234</x:v>
      </x:c>
      <x:c r="B235" s="34" t="n">
        <x:v>136</x:v>
      </x:c>
      <x:c r="C235" s="32" t="n">
        <x:v>46134</x:v>
      </x:c>
      <x:c r="D235" t="str">
        <x:v>2026-04</x:v>
      </x:c>
      <x:c r="E235" s="34" t="n">
        <x:v>11</x:v>
      </x:c>
      <x:c r="F235" t="str">
        <x:v>Felipe Martins</x:v>
      </x:c>
      <x:c r="G235" t="str">
        <x:v>RJ</x:v>
      </x:c>
      <x:c r="H235" t="str">
        <x:v>Rio de Janeiro</x:v>
      </x:c>
      <x:c r="I235" s="34" t="n">
        <x:v>42</x:v>
      </x:c>
      <x:c r="J235" t="str">
        <x:v>ENTREGUE</x:v>
      </x:c>
      <x:c r="K235" t="str">
        <x:v>Site</x:v>
      </x:c>
      <x:c r="L235" t="str">
        <x:v>Cartão crédito</x:v>
      </x:c>
      <x:c r="M235" s="34" t="n">
        <x:v>6</x:v>
      </x:c>
      <x:c r="N235" t="str">
        <x:v>Cabo HDMI 2m</x:v>
      </x:c>
      <x:c r="O235" t="str">
        <x:v>Acessórios</x:v>
      </x:c>
      <x:c r="P235" t="str">
        <x:v>Prime Eletrônicos</x:v>
      </x:c>
      <x:c r="Q235" s="34" t="n">
        <x:v>1</x:v>
      </x:c>
      <x:c r="R235" s="36" t="n">
        <x:v>29.9</x:v>
      </x:c>
      <x:c r="S235" s="38" t="n">
        <x:v>0.03</x:v>
      </x:c>
      <x:c r="T235" s="36" t="n">
        <x:v>29</x:v>
      </x:c>
      <x:c r="U235" s="36" t="n">
        <x:v>29.9</x:v>
      </x:c>
      <x:c r="V235" s="36" t="n">
        <x:v>0.9</x:v>
      </x:c>
      <x:c r="W235" s="36" t="n">
        <x:v>29</x:v>
      </x:c>
      <x:c r="X235" s="36" t="n">
        <x:v>10</x:v>
      </x:c>
      <x:c r="Y235" s="36" t="n">
        <x:v>19</x:v>
      </x:c>
      <x:c r="Z235" s="38" t="n">
        <x:v>0.6552</x:v>
      </x:c>
      <x:c r="AA235" s="36" t="n">
        <x:v>17.26</x:v>
      </x:c>
      <x:c r="AB235" s="34" t="n">
        <x:v>2</x:v>
      </x:c>
      <x:c r="AC235" t="str"/>
    </x:row>
    <x:row r="236">
      <x:c r="A236" s="34" t="n">
        <x:v>235</x:v>
      </x:c>
      <x:c r="B236" s="34" t="n">
        <x:v>137</x:v>
      </x:c>
      <x:c r="C236" s="32" t="n">
        <x:v>46137</x:v>
      </x:c>
      <x:c r="D236" t="str">
        <x:v>2026-04</x:v>
      </x:c>
      <x:c r="E236" s="34" t="n">
        <x:v>29</x:v>
      </x:c>
      <x:c r="F236" t="str">
        <x:v>Thiago Carvalho</x:v>
      </x:c>
      <x:c r="G236" t="str">
        <x:v>SP</x:v>
      </x:c>
      <x:c r="H236" t="str">
        <x:v>São José do Rio Preto</x:v>
      </x:c>
      <x:c r="I236" s="34" t="n">
        <x:v>50</x:v>
      </x:c>
      <x:c r="J236" t="str">
        <x:v>ENTREGUE</x:v>
      </x:c>
      <x:c r="K236" t="str">
        <x:v>Marketplace</x:v>
      </x:c>
      <x:c r="L236" t="str">
        <x:v>Pix</x:v>
      </x:c>
      <x:c r="M236" s="34" t="n">
        <x:v>16</x:v>
      </x:c>
      <x:c r="N236" t="str">
        <x:v>Placa de Vídeo GTX 1650</x:v>
      </x:c>
      <x:c r="O236" t="str">
        <x:v>Componentes</x:v>
      </x:c>
      <x:c r="P236" t="str">
        <x:v>FastHardware</x:v>
      </x:c>
      <x:c r="Q236" s="34" t="n">
        <x:v>1</x:v>
      </x:c>
      <x:c r="R236" s="36" t="n">
        <x:v>949.9</x:v>
      </x:c>
      <x:c r="S236" s="38" t="n">
        <x:v>0.05</x:v>
      </x:c>
      <x:c r="T236" s="36" t="n">
        <x:v>902.4</x:v>
      </x:c>
      <x:c r="U236" s="36" t="n">
        <x:v>949.9</x:v>
      </x:c>
      <x:c r="V236" s="36" t="n">
        <x:v>47.5</x:v>
      </x:c>
      <x:c r="W236" s="36" t="n">
        <x:v>902.4</x:v>
      </x:c>
      <x:c r="X236" s="36" t="n">
        <x:v>735</x:v>
      </x:c>
      <x:c r="Y236" s="36" t="n">
        <x:v>167.4</x:v>
      </x:c>
      <x:c r="Z236" s="38" t="n">
        <x:v>0.1855</x:v>
      </x:c>
      <x:c r="AA236" s="36" t="n">
        <x:v>25.89</x:v>
      </x:c>
      <x:c r="AB236" s="34" t="n">
        <x:v>5</x:v>
      </x:c>
      <x:c r="AC236" t="str"/>
    </x:row>
    <x:row r="237">
      <x:c r="A237" s="34" t="n">
        <x:v>236</x:v>
      </x:c>
      <x:c r="B237" s="34" t="n">
        <x:v>138</x:v>
      </x:c>
      <x:c r="C237" s="32" t="n">
        <x:v>46162</x:v>
      </x:c>
      <x:c r="D237" t="str">
        <x:v>2026-05</x:v>
      </x:c>
      <x:c r="E237" s="34" t="n">
        <x:v>21</x:v>
      </x:c>
      <x:c r="F237" t="str">
        <x:v>Henrique Pereira</x:v>
      </x:c>
      <x:c r="G237" t="str">
        <x:v>RJ</x:v>
      </x:c>
      <x:c r="H237" t="str">
        <x:v>Rio de Janeiro</x:v>
      </x:c>
      <x:c r="I237" s="34" t="n">
        <x:v>52</x:v>
      </x:c>
      <x:c r="J237" t="str">
        <x:v>EM PROCESSAMENTO</x:v>
      </x:c>
      <x:c r="K237" t="str">
        <x:v>Indicação</x:v>
      </x:c>
      <x:c r="L237" t="str">
        <x:v>Cartão crédito</x:v>
      </x:c>
      <x:c r="M237" s="34" t="n">
        <x:v>5</x:v>
      </x:c>
      <x:c r="N237" t="str">
        <x:v>Mousepad Grande</x:v>
      </x:c>
      <x:c r="O237" t="str">
        <x:v>Acessórios</x:v>
      </x:c>
      <x:c r="P237" t="str">
        <x:v>Prime Eletrônicos</x:v>
      </x:c>
      <x:c r="Q237" s="34" t="n">
        <x:v>1</x:v>
      </x:c>
      <x:c r="R237" s="36" t="n">
        <x:v>39.9</x:v>
      </x:c>
      <x:c r="S237" s="38" t="n">
        <x:v>0.03</x:v>
      </x:c>
      <x:c r="T237" s="36" t="n">
        <x:v>38.7</x:v>
      </x:c>
      <x:c r="U237" s="36" t="n">
        <x:v>39.9</x:v>
      </x:c>
      <x:c r="V237" s="36" t="n">
        <x:v>1.2</x:v>
      </x:c>
      <x:c r="W237" s="36" t="n">
        <x:v>38.7</x:v>
      </x:c>
      <x:c r="X237" s="36" t="n">
        <x:v>17</x:v>
      </x:c>
      <x:c r="Y237" s="36" t="n">
        <x:v>21.7</x:v>
      </x:c>
      <x:c r="Z237" s="38" t="n">
        <x:v>0.5607</x:v>
      </x:c>
      <x:c r="AA237" s="36" t="n">
        <x:v>45.13</x:v>
      </x:c>
      <x:c r="AB237" s="34"/>
      <x:c r="AC237" t="str"/>
    </x:row>
    <x:row r="238">
      <x:c r="A238" s="34" t="n">
        <x:v>237</x:v>
      </x:c>
      <x:c r="B238" s="34" t="n">
        <x:v>139</x:v>
      </x:c>
      <x:c r="C238" s="32" t="n">
        <x:v>46106</x:v>
      </x:c>
      <x:c r="D238" t="str">
        <x:v>2026-03</x:v>
      </x:c>
      <x:c r="E238" s="34" t="n">
        <x:v>11</x:v>
      </x:c>
      <x:c r="F238" t="str">
        <x:v>Felipe Martins</x:v>
      </x:c>
      <x:c r="G238" t="str">
        <x:v>RJ</x:v>
      </x:c>
      <x:c r="H238" t="str">
        <x:v>Rio de Janeiro</x:v>
      </x:c>
      <x:c r="I238" s="34" t="n">
        <x:v>42</x:v>
      </x:c>
      <x:c r="J238" t="str">
        <x:v>ENTREGUE</x:v>
      </x:c>
      <x:c r="K238" t="str">
        <x:v>Site</x:v>
      </x:c>
      <x:c r="L238" t="str">
        <x:v>Cartão débito</x:v>
      </x:c>
      <x:c r="M238" s="34" t="n">
        <x:v>18</x:v>
      </x:c>
      <x:c r="N238" t="str">
        <x:v>Cooler para Processador</x:v>
      </x:c>
      <x:c r="O238" t="str">
        <x:v>Componentes</x:v>
      </x:c>
      <x:c r="P238" t="str">
        <x:v>Mega Componentes</x:v>
      </x:c>
      <x:c r="Q238" s="34" t="n">
        <x:v>1</x:v>
      </x:c>
      <x:c r="R238" s="36" t="n">
        <x:v>99.9</x:v>
      </x:c>
      <x:c r="S238" s="38" t="n">
        <x:v>0</x:v>
      </x:c>
      <x:c r="T238" s="36" t="n">
        <x:v>99.9</x:v>
      </x:c>
      <x:c r="U238" s="36" t="n">
        <x:v>99.9</x:v>
      </x:c>
      <x:c r="V238" s="36" t="n">
        <x:v>0</x:v>
      </x:c>
      <x:c r="W238" s="36" t="n">
        <x:v>99.9</x:v>
      </x:c>
      <x:c r="X238" s="36" t="n">
        <x:v>46</x:v>
      </x:c>
      <x:c r="Y238" s="36" t="n">
        <x:v>53.9</x:v>
      </x:c>
      <x:c r="Z238" s="38" t="n">
        <x:v>0.5395</x:v>
      </x:c>
      <x:c r="AA238" s="36" t="n">
        <x:v>18.79</x:v>
      </x:c>
      <x:c r="AB238" s="34" t="n">
        <x:v>2</x:v>
      </x:c>
      <x:c r="AC238" t="str"/>
    </x:row>
    <x:row r="239">
      <x:c r="A239" s="34" t="n">
        <x:v>238</x:v>
      </x:c>
      <x:c r="B239" s="34" t="n">
        <x:v>140</x:v>
      </x:c>
      <x:c r="C239" s="32" t="n">
        <x:v>46139</x:v>
      </x:c>
      <x:c r="D239" t="str">
        <x:v>2026-04</x:v>
      </x:c>
      <x:c r="E239" s="34" t="n">
        <x:v>38</x:v>
      </x:c>
      <x:c r="F239" t="str">
        <x:v>Diego Santos</x:v>
      </x:c>
      <x:c r="G239" t="str">
        <x:v>MS</x:v>
      </x:c>
      <x:c r="H239" t="str">
        <x:v>Campo Grande</x:v>
      </x:c>
      <x:c r="I239" s="34" t="n">
        <x:v>52</x:v>
      </x:c>
      <x:c r="J239" t="str">
        <x:v>ENTREGUE</x:v>
      </x:c>
      <x:c r="K239" t="str">
        <x:v>WhatsApp</x:v>
      </x:c>
      <x:c r="L239" t="str">
        <x:v>Cartão crédito</x:v>
      </x:c>
      <x:c r="M239" s="34" t="n">
        <x:v>6</x:v>
      </x:c>
      <x:c r="N239" t="str">
        <x:v>Cabo HDMI 2m</x:v>
      </x:c>
      <x:c r="O239" t="str">
        <x:v>Acessórios</x:v>
      </x:c>
      <x:c r="P239" t="str">
        <x:v>Prime Eletrônicos</x:v>
      </x:c>
      <x:c r="Q239" s="34" t="n">
        <x:v>1</x:v>
      </x:c>
      <x:c r="R239" s="36" t="n">
        <x:v>29.9</x:v>
      </x:c>
      <x:c r="S239" s="38" t="n">
        <x:v>0.1</x:v>
      </x:c>
      <x:c r="T239" s="36" t="n">
        <x:v>26.91</x:v>
      </x:c>
      <x:c r="U239" s="36" t="n">
        <x:v>29.9</x:v>
      </x:c>
      <x:c r="V239" s="36" t="n">
        <x:v>2.99</x:v>
      </x:c>
      <x:c r="W239" s="36" t="n">
        <x:v>26.91</x:v>
      </x:c>
      <x:c r="X239" s="36" t="n">
        <x:v>10</x:v>
      </x:c>
      <x:c r="Y239" s="36" t="n">
        <x:v>16.91</x:v>
      </x:c>
      <x:c r="Z239" s="38" t="n">
        <x:v>0.6284</x:v>
      </x:c>
      <x:c r="AA239" s="36" t="n">
        <x:v>42.43</x:v>
      </x:c>
      <x:c r="AB239" s="34" t="n">
        <x:v>5</x:v>
      </x:c>
      <x:c r="AC239" t="str"/>
    </x:row>
    <x:row r="240">
      <x:c r="A240" s="34" t="n">
        <x:v>239</x:v>
      </x:c>
      <x:c r="B240" s="34" t="n">
        <x:v>140</x:v>
      </x:c>
      <x:c r="C240" s="32" t="n">
        <x:v>46139</x:v>
      </x:c>
      <x:c r="D240" t="str">
        <x:v>2026-04</x:v>
      </x:c>
      <x:c r="E240" s="34" t="n">
        <x:v>38</x:v>
      </x:c>
      <x:c r="F240" t="str">
        <x:v>Diego Santos</x:v>
      </x:c>
      <x:c r="G240" t="str">
        <x:v>MS</x:v>
      </x:c>
      <x:c r="H240" t="str">
        <x:v>Campo Grande</x:v>
      </x:c>
      <x:c r="I240" s="34" t="n">
        <x:v>52</x:v>
      </x:c>
      <x:c r="J240" t="str">
        <x:v>ENTREGUE</x:v>
      </x:c>
      <x:c r="K240" t="str">
        <x:v>WhatsApp</x:v>
      </x:c>
      <x:c r="L240" t="str">
        <x:v>Cartão crédito</x:v>
      </x:c>
      <x:c r="M240" s="34" t="n">
        <x:v>7</x:v>
      </x:c>
      <x:c r="N240" t="str">
        <x:v>Adaptador USB-C HDMI</x:v>
      </x:c>
      <x:c r="O240" t="str">
        <x:v>Acessórios</x:v>
      </x:c>
      <x:c r="P240" t="str">
        <x:v>Prime Eletrônicos</x:v>
      </x:c>
      <x:c r="Q240" s="34" t="n">
        <x:v>1</x:v>
      </x:c>
      <x:c r="R240" s="36" t="n">
        <x:v>119.9</x:v>
      </x:c>
      <x:c r="S240" s="38" t="n">
        <x:v>0.08</x:v>
      </x:c>
      <x:c r="T240" s="36" t="n">
        <x:v>110.31</x:v>
      </x:c>
      <x:c r="U240" s="36" t="n">
        <x:v>119.9</x:v>
      </x:c>
      <x:c r="V240" s="36" t="n">
        <x:v>9.59</x:v>
      </x:c>
      <x:c r="W240" s="36" t="n">
        <x:v>110.31</x:v>
      </x:c>
      <x:c r="X240" s="36" t="n">
        <x:v>58</x:v>
      </x:c>
      <x:c r="Y240" s="36" t="n">
        <x:v>52.31</x:v>
      </x:c>
      <x:c r="Z240" s="38" t="n">
        <x:v>0.4742</x:v>
      </x:c>
      <x:c r="AA240" s="36" t="n">
        <x:v>42.43</x:v>
      </x:c>
      <x:c r="AB240" s="34" t="n">
        <x:v>5</x:v>
      </x:c>
      <x:c r="AC240" t="str"/>
    </x:row>
    <x:row r="241">
      <x:c r="A241" s="34" t="n">
        <x:v>240</x:v>
      </x:c>
      <x:c r="B241" s="34" t="n">
        <x:v>141</x:v>
      </x:c>
      <x:c r="C241" s="32" t="n">
        <x:v>46176</x:v>
      </x:c>
      <x:c r="D241" t="str">
        <x:v>2026-06</x:v>
      </x:c>
      <x:c r="E241" s="34" t="n">
        <x:v>14</x:v>
      </x:c>
      <x:c r="F241" t="str">
        <x:v>Diego Carvalho</x:v>
      </x:c>
      <x:c r="G241" t="str">
        <x:v>MG</x:v>
      </x:c>
      <x:c r="H241" t="str">
        <x:v>Belo Horizonte</x:v>
      </x:c>
      <x:c r="I241" s="34" t="n">
        <x:v>50</x:v>
      </x:c>
      <x:c r="J241" t="str">
        <x:v>ENTREGUE</x:v>
      </x:c>
      <x:c r="K241" t="str">
        <x:v>Marketplace</x:v>
      </x:c>
      <x:c r="L241" t="str">
        <x:v>Pix</x:v>
      </x:c>
      <x:c r="M241" s="34" t="n">
        <x:v>9</x:v>
      </x:c>
      <x:c r="N241" t="str">
        <x:v>SSD 240GB SATA</x:v>
      </x:c>
      <x:c r="O241" t="str">
        <x:v>Armazenamento</x:v>
      </x:c>
      <x:c r="P241" t="str">
        <x:v>Mega Componentes</x:v>
      </x:c>
      <x:c r="Q241" s="34" t="n">
        <x:v>1</x:v>
      </x:c>
      <x:c r="R241" s="36" t="n">
        <x:v>169.9</x:v>
      </x:c>
      <x:c r="S241" s="38" t="n">
        <x:v>0.03</x:v>
      </x:c>
      <x:c r="T241" s="36" t="n">
        <x:v>164.8</x:v>
      </x:c>
      <x:c r="U241" s="36" t="n">
        <x:v>169.9</x:v>
      </x:c>
      <x:c r="V241" s="36" t="n">
        <x:v>5.1</x:v>
      </x:c>
      <x:c r="W241" s="36" t="n">
        <x:v>164.8</x:v>
      </x:c>
      <x:c r="X241" s="36" t="n">
        <x:v>98</x:v>
      </x:c>
      <x:c r="Y241" s="36" t="n">
        <x:v>66.8</x:v>
      </x:c>
      <x:c r="Z241" s="38" t="n">
        <x:v>0.4053</x:v>
      </x:c>
      <x:c r="AA241" s="36" t="n">
        <x:v>49.62</x:v>
      </x:c>
      <x:c r="AB241" s="34" t="n">
        <x:v>7</x:v>
      </x:c>
      <x:c r="AC241" t="str"/>
    </x:row>
    <x:row r="242">
      <x:c r="A242" s="34" t="n">
        <x:v>241</x:v>
      </x:c>
      <x:c r="B242" s="34" t="n">
        <x:v>141</x:v>
      </x:c>
      <x:c r="C242" s="32" t="n">
        <x:v>46176</x:v>
      </x:c>
      <x:c r="D242" t="str">
        <x:v>2026-06</x:v>
      </x:c>
      <x:c r="E242" s="34" t="n">
        <x:v>14</x:v>
      </x:c>
      <x:c r="F242" t="str">
        <x:v>Diego Carvalho</x:v>
      </x:c>
      <x:c r="G242" t="str">
        <x:v>MG</x:v>
      </x:c>
      <x:c r="H242" t="str">
        <x:v>Belo Horizonte</x:v>
      </x:c>
      <x:c r="I242" s="34" t="n">
        <x:v>50</x:v>
      </x:c>
      <x:c r="J242" t="str">
        <x:v>ENTREGUE</x:v>
      </x:c>
      <x:c r="K242" t="str">
        <x:v>Marketplace</x:v>
      </x:c>
      <x:c r="L242" t="str">
        <x:v>Pix</x:v>
      </x:c>
      <x:c r="M242" s="34" t="n">
        <x:v>18</x:v>
      </x:c>
      <x:c r="N242" t="str">
        <x:v>Cooler para Processador</x:v>
      </x:c>
      <x:c r="O242" t="str">
        <x:v>Componentes</x:v>
      </x:c>
      <x:c r="P242" t="str">
        <x:v>Mega Componentes</x:v>
      </x:c>
      <x:c r="Q242" s="34" t="n">
        <x:v>1</x:v>
      </x:c>
      <x:c r="R242" s="36" t="n">
        <x:v>99.9</x:v>
      </x:c>
      <x:c r="S242" s="38" t="n">
        <x:v>0.12</x:v>
      </x:c>
      <x:c r="T242" s="36" t="n">
        <x:v>87.91</x:v>
      </x:c>
      <x:c r="U242" s="36" t="n">
        <x:v>99.9</x:v>
      </x:c>
      <x:c r="V242" s="36" t="n">
        <x:v>11.99</x:v>
      </x:c>
      <x:c r="W242" s="36" t="n">
        <x:v>87.91</x:v>
      </x:c>
      <x:c r="X242" s="36" t="n">
        <x:v>46</x:v>
      </x:c>
      <x:c r="Y242" s="36" t="n">
        <x:v>41.91</x:v>
      </x:c>
      <x:c r="Z242" s="38" t="n">
        <x:v>0.4767</x:v>
      </x:c>
      <x:c r="AA242" s="36" t="n">
        <x:v>49.62</x:v>
      </x:c>
      <x:c r="AB242" s="34" t="n">
        <x:v>7</x:v>
      </x:c>
      <x:c r="AC242" t="str"/>
    </x:row>
    <x:row r="243">
      <x:c r="A243" s="34" t="n">
        <x:v>242</x:v>
      </x:c>
      <x:c r="B243" s="34" t="n">
        <x:v>142</x:v>
      </x:c>
      <x:c r="C243" s="32" t="n">
        <x:v>46084</x:v>
      </x:c>
      <x:c r="D243" t="str">
        <x:v>2026-03</x:v>
      </x:c>
      <x:c r="E243" s="34" t="n">
        <x:v>60</x:v>
      </x:c>
      <x:c r="F243" t="str">
        <x:v>Mariana Araujo</x:v>
      </x:c>
      <x:c r="G243" t="str">
        <x:v>PR</x:v>
      </x:c>
      <x:c r="H243" t="str">
        <x:v>Curitiba</x:v>
      </x:c>
      <x:c r="I243" s="34" t="n">
        <x:v>19</x:v>
      </x:c>
      <x:c r="J243" t="str">
        <x:v>CANCELADO</x:v>
      </x:c>
      <x:c r="K243" t="str">
        <x:v>WhatsApp</x:v>
      </x:c>
      <x:c r="L243" t="str">
        <x:v>Cartão crédito</x:v>
      </x:c>
      <x:c r="M243" s="34" t="n">
        <x:v>7</x:v>
      </x:c>
      <x:c r="N243" t="str">
        <x:v>Adaptador USB-C HDMI</x:v>
      </x:c>
      <x:c r="O243" t="str">
        <x:v>Acessórios</x:v>
      </x:c>
      <x:c r="P243" t="str">
        <x:v>Prime Eletrônicos</x:v>
      </x:c>
      <x:c r="Q243" s="34" t="n">
        <x:v>3</x:v>
      </x:c>
      <x:c r="R243" s="36" t="n">
        <x:v>119.9</x:v>
      </x:c>
      <x:c r="S243" s="38" t="n">
        <x:v>0.1</x:v>
      </x:c>
      <x:c r="T243" s="36" t="n">
        <x:v>107.91</x:v>
      </x:c>
      <x:c r="U243" s="36" t="n">
        <x:v>359.7</x:v>
      </x:c>
      <x:c r="V243" s="36" t="n">
        <x:v>35.97</x:v>
      </x:c>
      <x:c r="W243" s="36" t="n">
        <x:v>0</x:v>
      </x:c>
      <x:c r="X243" s="36" t="n">
        <x:v>174</x:v>
      </x:c>
      <x:c r="Y243" s="36" t="n">
        <x:v>0</x:v>
      </x:c>
      <x:c r="Z243" s="38" t="n">
        <x:v>0</x:v>
      </x:c>
      <x:c r="AA243" s="36" t="n">
        <x:v>27.73</x:v>
      </x:c>
      <x:c r="AB243" s="34"/>
      <x:c r="AC243" t="str">
        <x:v>Produto indisponível</x:v>
      </x:c>
    </x:row>
    <x:row r="244">
      <x:c r="A244" s="34" t="n">
        <x:v>243</x:v>
      </x:c>
      <x:c r="B244" s="34" t="n">
        <x:v>143</x:v>
      </x:c>
      <x:c r="C244" s="32" t="n">
        <x:v>46045</x:v>
      </x:c>
      <x:c r="D244" t="str">
        <x:v>2026-01</x:v>
      </x:c>
      <x:c r="E244" s="34" t="n">
        <x:v>2</x:v>
      </x:c>
      <x:c r="F244" t="str">
        <x:v>Beatriz Costa</x:v>
      </x:c>
      <x:c r="G244" t="str">
        <x:v>SP</x:v>
      </x:c>
      <x:c r="H244" t="str">
        <x:v>Votuporanga</x:v>
      </x:c>
      <x:c r="I244" s="34" t="n">
        <x:v>24</x:v>
      </x:c>
      <x:c r="J244" t="str">
        <x:v>ENTREGUE</x:v>
      </x:c>
      <x:c r="K244" t="str">
        <x:v>Site</x:v>
      </x:c>
      <x:c r="L244" t="str">
        <x:v>Cartão crédito</x:v>
      </x:c>
      <x:c r="M244" s="34" t="n">
        <x:v>1</x:v>
      </x:c>
      <x:c r="N244" t="str">
        <x:v>Mouse Óptico USB</x:v>
      </x:c>
      <x:c r="O244" t="str">
        <x:v>Periféricos</x:v>
      </x:c>
      <x:c r="P244" t="str">
        <x:v>TechDistribuidora Brasil</x:v>
      </x:c>
      <x:c r="Q244" s="34" t="n">
        <x:v>1</x:v>
      </x:c>
      <x:c r="R244" s="36" t="n">
        <x:v>49.9</x:v>
      </x:c>
      <x:c r="S244" s="38" t="n">
        <x:v>0</x:v>
      </x:c>
      <x:c r="T244" s="36" t="n">
        <x:v>49.9</x:v>
      </x:c>
      <x:c r="U244" s="36" t="n">
        <x:v>49.9</x:v>
      </x:c>
      <x:c r="V244" s="36" t="n">
        <x:v>0</x:v>
      </x:c>
      <x:c r="W244" s="36" t="n">
        <x:v>49.9</x:v>
      </x:c>
      <x:c r="X244" s="36" t="n">
        <x:v>25</x:v>
      </x:c>
      <x:c r="Y244" s="36" t="n">
        <x:v>24.9</x:v>
      </x:c>
      <x:c r="Z244" s="38" t="n">
        <x:v>0.499</x:v>
      </x:c>
      <x:c r="AA244" s="36" t="n">
        <x:v>27.33</x:v>
      </x:c>
      <x:c r="AB244" s="34" t="n">
        <x:v>8</x:v>
      </x:c>
      <x:c r="AC244" t="str"/>
    </x:row>
    <x:row r="245">
      <x:c r="A245" s="34" t="n">
        <x:v>244</x:v>
      </x:c>
      <x:c r="B245" s="34" t="n">
        <x:v>143</x:v>
      </x:c>
      <x:c r="C245" s="32" t="n">
        <x:v>46045</x:v>
      </x:c>
      <x:c r="D245" t="str">
        <x:v>2026-01</x:v>
      </x:c>
      <x:c r="E245" s="34" t="n">
        <x:v>2</x:v>
      </x:c>
      <x:c r="F245" t="str">
        <x:v>Beatriz Costa</x:v>
      </x:c>
      <x:c r="G245" t="str">
        <x:v>SP</x:v>
      </x:c>
      <x:c r="H245" t="str">
        <x:v>Votuporanga</x:v>
      </x:c>
      <x:c r="I245" s="34" t="n">
        <x:v>24</x:v>
      </x:c>
      <x:c r="J245" t="str">
        <x:v>ENTREGUE</x:v>
      </x:c>
      <x:c r="K245" t="str">
        <x:v>Site</x:v>
      </x:c>
      <x:c r="L245" t="str">
        <x:v>Cartão crédito</x:v>
      </x:c>
      <x:c r="M245" s="34" t="n">
        <x:v>4</x:v>
      </x:c>
      <x:c r="N245" t="str">
        <x:v>Webcam Full HD</x:v>
      </x:c>
      <x:c r="O245" t="str">
        <x:v>Periféricos</x:v>
      </x:c>
      <x:c r="P245" t="str">
        <x:v>Prime Eletrônicos</x:v>
      </x:c>
      <x:c r="Q245" s="34" t="n">
        <x:v>1</x:v>
      </x:c>
      <x:c r="R245" s="36" t="n">
        <x:v>199.9</x:v>
      </x:c>
      <x:c r="S245" s="38" t="n">
        <x:v>0.03</x:v>
      </x:c>
      <x:c r="T245" s="36" t="n">
        <x:v>193.9</x:v>
      </x:c>
      <x:c r="U245" s="36" t="n">
        <x:v>199.9</x:v>
      </x:c>
      <x:c r="V245" s="36" t="n">
        <x:v>6</x:v>
      </x:c>
      <x:c r="W245" s="36" t="n">
        <x:v>193.9</x:v>
      </x:c>
      <x:c r="X245" s="36" t="n">
        <x:v>112</x:v>
      </x:c>
      <x:c r="Y245" s="36" t="n">
        <x:v>81.9</x:v>
      </x:c>
      <x:c r="Z245" s="38" t="n">
        <x:v>0.4224</x:v>
      </x:c>
      <x:c r="AA245" s="36" t="n">
        <x:v>27.33</x:v>
      </x:c>
      <x:c r="AB245" s="34" t="n">
        <x:v>8</x:v>
      </x:c>
      <x:c r="AC245" t="str"/>
    </x:row>
    <x:row r="246">
      <x:c r="A246" s="34" t="n">
        <x:v>245</x:v>
      </x:c>
      <x:c r="B246" s="34" t="n">
        <x:v>144</x:v>
      </x:c>
      <x:c r="C246" s="32" t="n">
        <x:v>46177</x:v>
      </x:c>
      <x:c r="D246" t="str">
        <x:v>2026-06</x:v>
      </x:c>
      <x:c r="E246" s="34" t="n">
        <x:v>6</x:v>
      </x:c>
      <x:c r="F246" t="str">
        <x:v>Yasmin Santos</x:v>
      </x:c>
      <x:c r="G246" t="str">
        <x:v>MG</x:v>
      </x:c>
      <x:c r="H246" t="str">
        <x:v>Uberaba</x:v>
      </x:c>
      <x:c r="I246" s="34" t="n">
        <x:v>52</x:v>
      </x:c>
      <x:c r="J246" t="str">
        <x:v>EM PROCESSAMENTO</x:v>
      </x:c>
      <x:c r="K246" t="str">
        <x:v>Indicação</x:v>
      </x:c>
      <x:c r="L246" t="str">
        <x:v>Cartão crédito</x:v>
      </x:c>
      <x:c r="M246" s="34" t="n">
        <x:v>9</x:v>
      </x:c>
      <x:c r="N246" t="str">
        <x:v>SSD 240GB SATA</x:v>
      </x:c>
      <x:c r="O246" t="str">
        <x:v>Armazenamento</x:v>
      </x:c>
      <x:c r="P246" t="str">
        <x:v>Mega Componentes</x:v>
      </x:c>
      <x:c r="Q246" s="34" t="n">
        <x:v>2</x:v>
      </x:c>
      <x:c r="R246" s="36" t="n">
        <x:v>169.9</x:v>
      </x:c>
      <x:c r="S246" s="38" t="n">
        <x:v>0.05</x:v>
      </x:c>
      <x:c r="T246" s="36" t="n">
        <x:v>161.41</x:v>
      </x:c>
      <x:c r="U246" s="36" t="n">
        <x:v>339.8</x:v>
      </x:c>
      <x:c r="V246" s="36" t="n">
        <x:v>16.98</x:v>
      </x:c>
      <x:c r="W246" s="36" t="n">
        <x:v>322.82</x:v>
      </x:c>
      <x:c r="X246" s="36" t="n">
        <x:v>196</x:v>
      </x:c>
      <x:c r="Y246" s="36" t="n">
        <x:v>126.82</x:v>
      </x:c>
      <x:c r="Z246" s="38" t="n">
        <x:v>0.3929</x:v>
      </x:c>
      <x:c r="AA246" s="36" t="n">
        <x:v>19.4</x:v>
      </x:c>
      <x:c r="AB246" s="34"/>
      <x:c r="AC246" t="str"/>
    </x:row>
    <x:row r="247">
      <x:c r="A247" s="34" t="n">
        <x:v>246</x:v>
      </x:c>
      <x:c r="B247" s="34" t="n">
        <x:v>145</x:v>
      </x:c>
      <x:c r="C247" s="32" t="n">
        <x:v>46145</x:v>
      </x:c>
      <x:c r="D247" t="str">
        <x:v>2026-05</x:v>
      </x:c>
      <x:c r="E247" s="34" t="n">
        <x:v>45</x:v>
      </x:c>
      <x:c r="F247" t="str">
        <x:v>Nicolas Costa</x:v>
      </x:c>
      <x:c r="G247" t="str">
        <x:v>PR</x:v>
      </x:c>
      <x:c r="H247" t="str">
        <x:v>Maringá</x:v>
      </x:c>
      <x:c r="I247" s="34" t="n">
        <x:v>45</x:v>
      </x:c>
      <x:c r="J247" t="str">
        <x:v>EM PROCESSAMENTO</x:v>
      </x:c>
      <x:c r="K247" t="str">
        <x:v>Site</x:v>
      </x:c>
      <x:c r="L247" t="str">
        <x:v>Boleto</x:v>
      </x:c>
      <x:c r="M247" s="34" t="n">
        <x:v>28</x:v>
      </x:c>
      <x:c r="N247" t="str">
        <x:v>Repetidor Wi-Fi</x:v>
      </x:c>
      <x:c r="O247" t="str">
        <x:v>Rede</x:v>
      </x:c>
      <x:c r="P247" t="str">
        <x:v>Connect Rede</x:v>
      </x:c>
      <x:c r="Q247" s="34" t="n">
        <x:v>1</x:v>
      </x:c>
      <x:c r="R247" s="36" t="n">
        <x:v>139.9</x:v>
      </x:c>
      <x:c r="S247" s="38" t="n">
        <x:v>0.03</x:v>
      </x:c>
      <x:c r="T247" s="36" t="n">
        <x:v>135.7</x:v>
      </x:c>
      <x:c r="U247" s="36" t="n">
        <x:v>139.9</x:v>
      </x:c>
      <x:c r="V247" s="36" t="n">
        <x:v>4.2</x:v>
      </x:c>
      <x:c r="W247" s="36" t="n">
        <x:v>135.7</x:v>
      </x:c>
      <x:c r="X247" s="36" t="n">
        <x:v>69</x:v>
      </x:c>
      <x:c r="Y247" s="36" t="n">
        <x:v>66.7</x:v>
      </x:c>
      <x:c r="Z247" s="38" t="n">
        <x:v>0.4915</x:v>
      </x:c>
      <x:c r="AA247" s="36" t="n">
        <x:v>29.07</x:v>
      </x:c>
      <x:c r="AB247" s="34"/>
      <x:c r="AC247" t="str"/>
    </x:row>
    <x:row r="248">
      <x:c r="A248" s="34" t="n">
        <x:v>247</x:v>
      </x:c>
      <x:c r="B248" s="34" t="n">
        <x:v>146</x:v>
      </x:c>
      <x:c r="C248" s="32" t="n">
        <x:v>46056</x:v>
      </x:c>
      <x:c r="D248" t="str">
        <x:v>2026-02</x:v>
      </x:c>
      <x:c r="E248" s="34" t="n">
        <x:v>43</x:v>
      </x:c>
      <x:c r="F248" t="str">
        <x:v>Caio Souza</x:v>
      </x:c>
      <x:c r="G248" t="str">
        <x:v>SP</x:v>
      </x:c>
      <x:c r="H248" t="str">
        <x:v>Mirassol</x:v>
      </x:c>
      <x:c r="I248" s="34" t="n">
        <x:v>22</x:v>
      </x:c>
      <x:c r="J248" t="str">
        <x:v>EM PROCESSAMENTO</x:v>
      </x:c>
      <x:c r="K248" t="str">
        <x:v>Site</x:v>
      </x:c>
      <x:c r="L248" t="str">
        <x:v>Cartão crédito</x:v>
      </x:c>
      <x:c r="M248" s="34" t="n">
        <x:v>18</x:v>
      </x:c>
      <x:c r="N248" t="str">
        <x:v>Cooler para Processador</x:v>
      </x:c>
      <x:c r="O248" t="str">
        <x:v>Componentes</x:v>
      </x:c>
      <x:c r="P248" t="str">
        <x:v>Mega Componentes</x:v>
      </x:c>
      <x:c r="Q248" s="34" t="n">
        <x:v>2</x:v>
      </x:c>
      <x:c r="R248" s="36" t="n">
        <x:v>99.9</x:v>
      </x:c>
      <x:c r="S248" s="38" t="n">
        <x:v>0</x:v>
      </x:c>
      <x:c r="T248" s="36" t="n">
        <x:v>99.9</x:v>
      </x:c>
      <x:c r="U248" s="36" t="n">
        <x:v>199.8</x:v>
      </x:c>
      <x:c r="V248" s="36" t="n">
        <x:v>0</x:v>
      </x:c>
      <x:c r="W248" s="36" t="n">
        <x:v>199.8</x:v>
      </x:c>
      <x:c r="X248" s="36" t="n">
        <x:v>92</x:v>
      </x:c>
      <x:c r="Y248" s="36" t="n">
        <x:v>107.8</x:v>
      </x:c>
      <x:c r="Z248" s="38" t="n">
        <x:v>0.5395</x:v>
      </x:c>
      <x:c r="AA248" s="36" t="n">
        <x:v>47.13</x:v>
      </x:c>
      <x:c r="AB248" s="34"/>
      <x:c r="AC248" t="str"/>
    </x:row>
    <x:row r="249">
      <x:c r="A249" s="34" t="n">
        <x:v>248</x:v>
      </x:c>
      <x:c r="B249" s="34" t="n">
        <x:v>146</x:v>
      </x:c>
      <x:c r="C249" s="32" t="n">
        <x:v>46056</x:v>
      </x:c>
      <x:c r="D249" t="str">
        <x:v>2026-02</x:v>
      </x:c>
      <x:c r="E249" s="34" t="n">
        <x:v>43</x:v>
      </x:c>
      <x:c r="F249" t="str">
        <x:v>Caio Souza</x:v>
      </x:c>
      <x:c r="G249" t="str">
        <x:v>SP</x:v>
      </x:c>
      <x:c r="H249" t="str">
        <x:v>Mirassol</x:v>
      </x:c>
      <x:c r="I249" s="34" t="n">
        <x:v>22</x:v>
      </x:c>
      <x:c r="J249" t="str">
        <x:v>EM PROCESSAMENTO</x:v>
      </x:c>
      <x:c r="K249" t="str">
        <x:v>Site</x:v>
      </x:c>
      <x:c r="L249" t="str">
        <x:v>Cartão crédito</x:v>
      </x:c>
      <x:c r="M249" s="34" t="n">
        <x:v>2</x:v>
      </x:c>
      <x:c r="N249" t="str">
        <x:v>Teclado Membrana ABNT2</x:v>
      </x:c>
      <x:c r="O249" t="str">
        <x:v>Periféricos</x:v>
      </x:c>
      <x:c r="P249" t="str">
        <x:v>TechDistribuidora Brasil</x:v>
      </x:c>
      <x:c r="Q249" s="34" t="n">
        <x:v>1</x:v>
      </x:c>
      <x:c r="R249" s="36" t="n">
        <x:v>89.9</x:v>
      </x:c>
      <x:c r="S249" s="38" t="n">
        <x:v>0.05</x:v>
      </x:c>
      <x:c r="T249" s="36" t="n">
        <x:v>85.41</x:v>
      </x:c>
      <x:c r="U249" s="36" t="n">
        <x:v>89.9</x:v>
      </x:c>
      <x:c r="V249" s="36" t="n">
        <x:v>4.49</x:v>
      </x:c>
      <x:c r="W249" s="36" t="n">
        <x:v>85.41</x:v>
      </x:c>
      <x:c r="X249" s="36" t="n">
        <x:v>48</x:v>
      </x:c>
      <x:c r="Y249" s="36" t="n">
        <x:v>37.41</x:v>
      </x:c>
      <x:c r="Z249" s="38" t="n">
        <x:v>0.438</x:v>
      </x:c>
      <x:c r="AA249" s="36" t="n">
        <x:v>47.13</x:v>
      </x:c>
      <x:c r="AB249" s="34"/>
      <x:c r="AC249" t="str"/>
    </x:row>
    <x:row r="250">
      <x:c r="A250" s="34" t="n">
        <x:v>249</x:v>
      </x:c>
      <x:c r="B250" s="34" t="n">
        <x:v>147</x:v>
      </x:c>
      <x:c r="C250" s="32" t="n">
        <x:v>46146</x:v>
      </x:c>
      <x:c r="D250" t="str">
        <x:v>2026-05</x:v>
      </x:c>
      <x:c r="E250" s="34" t="n">
        <x:v>57</x:v>
      </x:c>
      <x:c r="F250" t="str">
        <x:v>Beatriz Souza</x:v>
      </x:c>
      <x:c r="G250" t="str">
        <x:v>GO</x:v>
      </x:c>
      <x:c r="H250" t="str">
        <x:v>Anápolis</x:v>
      </x:c>
      <x:c r="I250" s="34" t="n">
        <x:v>51</x:v>
      </x:c>
      <x:c r="J250" t="str">
        <x:v>ENTREGUE</x:v>
      </x:c>
      <x:c r="K250" t="str">
        <x:v>WhatsApp</x:v>
      </x:c>
      <x:c r="L250" t="str">
        <x:v>Boleto</x:v>
      </x:c>
      <x:c r="M250" s="34" t="n">
        <x:v>27</x:v>
      </x:c>
      <x:c r="N250" t="str">
        <x:v>Placa de Rede PCIe</x:v>
      </x:c>
      <x:c r="O250" t="str">
        <x:v>Rede</x:v>
      </x:c>
      <x:c r="P250" t="str">
        <x:v>Connect Rede</x:v>
      </x:c>
      <x:c r="Q250" s="34" t="n">
        <x:v>1</x:v>
      </x:c>
      <x:c r="R250" s="36" t="n">
        <x:v>79.9</x:v>
      </x:c>
      <x:c r="S250" s="38" t="n">
        <x:v>0</x:v>
      </x:c>
      <x:c r="T250" s="36" t="n">
        <x:v>79.9</x:v>
      </x:c>
      <x:c r="U250" s="36" t="n">
        <x:v>79.9</x:v>
      </x:c>
      <x:c r="V250" s="36" t="n">
        <x:v>0</x:v>
      </x:c>
      <x:c r="W250" s="36" t="n">
        <x:v>79.9</x:v>
      </x:c>
      <x:c r="X250" s="36" t="n">
        <x:v>37</x:v>
      </x:c>
      <x:c r="Y250" s="36" t="n">
        <x:v>42.9</x:v>
      </x:c>
      <x:c r="Z250" s="38" t="n">
        <x:v>0.5369</x:v>
      </x:c>
      <x:c r="AA250" s="36" t="n">
        <x:v>27.4</x:v>
      </x:c>
      <x:c r="AB250" s="34" t="n">
        <x:v>3</x:v>
      </x:c>
      <x:c r="AC250" t="str"/>
    </x:row>
    <x:row r="251">
      <x:c r="A251" s="34" t="n">
        <x:v>250</x:v>
      </x:c>
      <x:c r="B251" s="34" t="n">
        <x:v>148</x:v>
      </x:c>
      <x:c r="C251" s="32" t="n">
        <x:v>46024</x:v>
      </x:c>
      <x:c r="D251" t="str">
        <x:v>2026-01</x:v>
      </x:c>
      <x:c r="E251" s="34" t="n">
        <x:v>4</x:v>
      </x:c>
      <x:c r="F251" t="str">
        <x:v>Letícia Santos</x:v>
      </x:c>
      <x:c r="G251" t="str">
        <x:v>SP</x:v>
      </x:c>
      <x:c r="H251" t="str">
        <x:v>Catanduva</x:v>
      </x:c>
      <x:c r="I251" s="34" t="n">
        <x:v>36</x:v>
      </x:c>
      <x:c r="J251" t="str">
        <x:v>ENTREGUE</x:v>
      </x:c>
      <x:c r="K251" t="str">
        <x:v>WhatsApp</x:v>
      </x:c>
      <x:c r="L251" t="str">
        <x:v>Cartão crédito</x:v>
      </x:c>
      <x:c r="M251" s="34" t="n">
        <x:v>11</x:v>
      </x:c>
      <x:c r="N251" t="str">
        <x:v>SSD NVMe 500GB</x:v>
      </x:c>
      <x:c r="O251" t="str">
        <x:v>Armazenamento</x:v>
      </x:c>
      <x:c r="P251" t="str">
        <x:v>FastHardware</x:v>
      </x:c>
      <x:c r="Q251" s="34" t="n">
        <x:v>1</x:v>
      </x:c>
      <x:c r="R251" s="36" t="n">
        <x:v>329.9</x:v>
      </x:c>
      <x:c r="S251" s="38" t="n">
        <x:v>0.08</x:v>
      </x:c>
      <x:c r="T251" s="36" t="n">
        <x:v>303.51</x:v>
      </x:c>
      <x:c r="U251" s="36" t="n">
        <x:v>329.9</x:v>
      </x:c>
      <x:c r="V251" s="36" t="n">
        <x:v>26.39</x:v>
      </x:c>
      <x:c r="W251" s="36" t="n">
        <x:v>303.51</x:v>
      </x:c>
      <x:c r="X251" s="36" t="n">
        <x:v>205</x:v>
      </x:c>
      <x:c r="Y251" s="36" t="n">
        <x:v>98.51</x:v>
      </x:c>
      <x:c r="Z251" s="38" t="n">
        <x:v>0.3246</x:v>
      </x:c>
      <x:c r="AA251" s="36" t="n">
        <x:v>30.48</x:v>
      </x:c>
      <x:c r="AB251" s="34" t="n">
        <x:v>4</x:v>
      </x:c>
      <x:c r="AC251" t="str"/>
    </x:row>
    <x:row r="252">
      <x:c r="A252" s="34" t="n">
        <x:v>251</x:v>
      </x:c>
      <x:c r="B252" s="34" t="n">
        <x:v>148</x:v>
      </x:c>
      <x:c r="C252" s="32" t="n">
        <x:v>46024</x:v>
      </x:c>
      <x:c r="D252" t="str">
        <x:v>2026-01</x:v>
      </x:c>
      <x:c r="E252" s="34" t="n">
        <x:v>4</x:v>
      </x:c>
      <x:c r="F252" t="str">
        <x:v>Letícia Santos</x:v>
      </x:c>
      <x:c r="G252" t="str">
        <x:v>SP</x:v>
      </x:c>
      <x:c r="H252" t="str">
        <x:v>Catanduva</x:v>
      </x:c>
      <x:c r="I252" s="34" t="n">
        <x:v>36</x:v>
      </x:c>
      <x:c r="J252" t="str">
        <x:v>ENTREGUE</x:v>
      </x:c>
      <x:c r="K252" t="str">
        <x:v>WhatsApp</x:v>
      </x:c>
      <x:c r="L252" t="str">
        <x:v>Cartão crédito</x:v>
      </x:c>
      <x:c r="M252" s="34" t="n">
        <x:v>6</x:v>
      </x:c>
      <x:c r="N252" t="str">
        <x:v>Cabo HDMI 2m</x:v>
      </x:c>
      <x:c r="O252" t="str">
        <x:v>Acessórios</x:v>
      </x:c>
      <x:c r="P252" t="str">
        <x:v>Prime Eletrônicos</x:v>
      </x:c>
      <x:c r="Q252" s="34" t="n">
        <x:v>1</x:v>
      </x:c>
      <x:c r="R252" s="36" t="n">
        <x:v>29.9</x:v>
      </x:c>
      <x:c r="S252" s="38" t="n">
        <x:v>0</x:v>
      </x:c>
      <x:c r="T252" s="36" t="n">
        <x:v>29.9</x:v>
      </x:c>
      <x:c r="U252" s="36" t="n">
        <x:v>29.9</x:v>
      </x:c>
      <x:c r="V252" s="36" t="n">
        <x:v>0</x:v>
      </x:c>
      <x:c r="W252" s="36" t="n">
        <x:v>29.9</x:v>
      </x:c>
      <x:c r="X252" s="36" t="n">
        <x:v>10</x:v>
      </x:c>
      <x:c r="Y252" s="36" t="n">
        <x:v>19.9</x:v>
      </x:c>
      <x:c r="Z252" s="38" t="n">
        <x:v>0.6656</x:v>
      </x:c>
      <x:c r="AA252" s="36" t="n">
        <x:v>30.48</x:v>
      </x:c>
      <x:c r="AB252" s="34" t="n">
        <x:v>4</x:v>
      </x:c>
      <x:c r="AC252" t="str"/>
    </x:row>
    <x:row r="253">
      <x:c r="A253" s="34" t="n">
        <x:v>252</x:v>
      </x:c>
      <x:c r="B253" s="34" t="n">
        <x:v>149</x:v>
      </x:c>
      <x:c r="C253" s="32" t="n">
        <x:v>46156</x:v>
      </x:c>
      <x:c r="D253" t="str">
        <x:v>2026-05</x:v>
      </x:c>
      <x:c r="E253" s="34" t="n">
        <x:v>10</x:v>
      </x:c>
      <x:c r="F253" t="str">
        <x:v>Tatiane Rodrigues</x:v>
      </x:c>
      <x:c r="G253" t="str">
        <x:v>SP</x:v>
      </x:c>
      <x:c r="H253" t="str">
        <x:v>Catanduva</x:v>
      </x:c>
      <x:c r="I253" s="34" t="n">
        <x:v>50</x:v>
      </x:c>
      <x:c r="J253" t="str">
        <x:v>ENTREGUE</x:v>
      </x:c>
      <x:c r="K253" t="str">
        <x:v>Indicação</x:v>
      </x:c>
      <x:c r="L253" t="str">
        <x:v>Pix</x:v>
      </x:c>
      <x:c r="M253" s="34" t="n">
        <x:v>28</x:v>
      </x:c>
      <x:c r="N253" t="str">
        <x:v>Repetidor Wi-Fi</x:v>
      </x:c>
      <x:c r="O253" t="str">
        <x:v>Rede</x:v>
      </x:c>
      <x:c r="P253" t="str">
        <x:v>Connect Rede</x:v>
      </x:c>
      <x:c r="Q253" s="34" t="n">
        <x:v>1</x:v>
      </x:c>
      <x:c r="R253" s="36" t="n">
        <x:v>139.9</x:v>
      </x:c>
      <x:c r="S253" s="38" t="n">
        <x:v>0.1</x:v>
      </x:c>
      <x:c r="T253" s="36" t="n">
        <x:v>125.91</x:v>
      </x:c>
      <x:c r="U253" s="36" t="n">
        <x:v>139.9</x:v>
      </x:c>
      <x:c r="V253" s="36" t="n">
        <x:v>13.99</x:v>
      </x:c>
      <x:c r="W253" s="36" t="n">
        <x:v>125.91</x:v>
      </x:c>
      <x:c r="X253" s="36" t="n">
        <x:v>69</x:v>
      </x:c>
      <x:c r="Y253" s="36" t="n">
        <x:v>56.91</x:v>
      </x:c>
      <x:c r="Z253" s="38" t="n">
        <x:v>0.452</x:v>
      </x:c>
      <x:c r="AA253" s="36" t="n">
        <x:v>22.77</x:v>
      </x:c>
      <x:c r="AB253" s="34" t="n">
        <x:v>4</x:v>
      </x:c>
      <x:c r="AC253" t="str"/>
    </x:row>
    <x:row r="254">
      <x:c r="A254" s="34" t="n">
        <x:v>253</x:v>
      </x:c>
      <x:c r="B254" s="34" t="n">
        <x:v>150</x:v>
      </x:c>
      <x:c r="C254" s="32" t="n">
        <x:v>46136</x:v>
      </x:c>
      <x:c r="D254" t="str">
        <x:v>2026-04</x:v>
      </x:c>
      <x:c r="E254" s="34" t="n">
        <x:v>53</x:v>
      </x:c>
      <x:c r="F254" t="str">
        <x:v>Carla Almeida</x:v>
      </x:c>
      <x:c r="G254" t="str">
        <x:v>SP</x:v>
      </x:c>
      <x:c r="H254" t="str">
        <x:v>Ribeirão Preto</x:v>
      </x:c>
      <x:c r="I254" s="34" t="n">
        <x:v>54</x:v>
      </x:c>
      <x:c r="J254" t="str">
        <x:v>ENTREGUE</x:v>
      </x:c>
      <x:c r="K254" t="str">
        <x:v>Marketplace</x:v>
      </x:c>
      <x:c r="L254" t="str">
        <x:v>Boleto</x:v>
      </x:c>
      <x:c r="M254" s="34" t="n">
        <x:v>6</x:v>
      </x:c>
      <x:c r="N254" t="str">
        <x:v>Cabo HDMI 2m</x:v>
      </x:c>
      <x:c r="O254" t="str">
        <x:v>Acessórios</x:v>
      </x:c>
      <x:c r="P254" t="str">
        <x:v>Prime Eletrônicos</x:v>
      </x:c>
      <x:c r="Q254" s="34" t="n">
        <x:v>5</x:v>
      </x:c>
      <x:c r="R254" s="36" t="n">
        <x:v>29.9</x:v>
      </x:c>
      <x:c r="S254" s="38" t="n">
        <x:v>0</x:v>
      </x:c>
      <x:c r="T254" s="36" t="n">
        <x:v>29.9</x:v>
      </x:c>
      <x:c r="U254" s="36" t="n">
        <x:v>149.5</x:v>
      </x:c>
      <x:c r="V254" s="36" t="n">
        <x:v>0</x:v>
      </x:c>
      <x:c r="W254" s="36" t="n">
        <x:v>149.5</x:v>
      </x:c>
      <x:c r="X254" s="36" t="n">
        <x:v>50</x:v>
      </x:c>
      <x:c r="Y254" s="36" t="n">
        <x:v>99.5</x:v>
      </x:c>
      <x:c r="Z254" s="38" t="n">
        <x:v>0.6656</x:v>
      </x:c>
      <x:c r="AA254" s="36" t="n">
        <x:v>13.5</x:v>
      </x:c>
      <x:c r="AB254" s="34" t="n">
        <x:v>6</x:v>
      </x:c>
      <x:c r="AC254" t="str"/>
    </x:row>
    <x:row r="255">
      <x:c r="A255" s="34" t="n">
        <x:v>254</x:v>
      </x:c>
      <x:c r="B255" s="34" t="n">
        <x:v>151</x:v>
      </x:c>
      <x:c r="C255" s="32" t="n">
        <x:v>46037</x:v>
      </x:c>
      <x:c r="D255" t="str">
        <x:v>2026-01</x:v>
      </x:c>
      <x:c r="E255" s="34" t="n">
        <x:v>19</x:v>
      </x:c>
      <x:c r="F255" t="str">
        <x:v>Sofia Nascimento</x:v>
      </x:c>
      <x:c r="G255" t="str">
        <x:v>SP</x:v>
      </x:c>
      <x:c r="H255" t="str">
        <x:v>Catanduva</x:v>
      </x:c>
      <x:c r="I255" s="34" t="n">
        <x:v>32</x:v>
      </x:c>
      <x:c r="J255" t="str">
        <x:v>ENTREGUE</x:v>
      </x:c>
      <x:c r="K255" t="str">
        <x:v>Site</x:v>
      </x:c>
      <x:c r="L255" t="str">
        <x:v>Pix</x:v>
      </x:c>
      <x:c r="M255" s="34" t="n">
        <x:v>6</x:v>
      </x:c>
      <x:c r="N255" t="str">
        <x:v>Cabo HDMI 2m</x:v>
      </x:c>
      <x:c r="O255" t="str">
        <x:v>Acessórios</x:v>
      </x:c>
      <x:c r="P255" t="str">
        <x:v>Prime Eletrônicos</x:v>
      </x:c>
      <x:c r="Q255" s="34" t="n">
        <x:v>1</x:v>
      </x:c>
      <x:c r="R255" s="36" t="n">
        <x:v>29.9</x:v>
      </x:c>
      <x:c r="S255" s="38" t="n">
        <x:v>0.12</x:v>
      </x:c>
      <x:c r="T255" s="36" t="n">
        <x:v>26.31</x:v>
      </x:c>
      <x:c r="U255" s="36" t="n">
        <x:v>29.9</x:v>
      </x:c>
      <x:c r="V255" s="36" t="n">
        <x:v>3.59</x:v>
      </x:c>
      <x:c r="W255" s="36" t="n">
        <x:v>26.31</x:v>
      </x:c>
      <x:c r="X255" s="36" t="n">
        <x:v>10</x:v>
      </x:c>
      <x:c r="Y255" s="36" t="n">
        <x:v>16.31</x:v>
      </x:c>
      <x:c r="Z255" s="38" t="n">
        <x:v>0.6199</x:v>
      </x:c>
      <x:c r="AA255" s="36" t="n">
        <x:v>53.21</x:v>
      </x:c>
      <x:c r="AB255" s="34" t="n">
        <x:v>5</x:v>
      </x:c>
      <x:c r="AC255" t="str"/>
    </x:row>
    <x:row r="256">
      <x:c r="A256" s="34" t="n">
        <x:v>255</x:v>
      </x:c>
      <x:c r="B256" s="34" t="n">
        <x:v>151</x:v>
      </x:c>
      <x:c r="C256" s="32" t="n">
        <x:v>46037</x:v>
      </x:c>
      <x:c r="D256" t="str">
        <x:v>2026-01</x:v>
      </x:c>
      <x:c r="E256" s="34" t="n">
        <x:v>19</x:v>
      </x:c>
      <x:c r="F256" t="str">
        <x:v>Sofia Nascimento</x:v>
      </x:c>
      <x:c r="G256" t="str">
        <x:v>SP</x:v>
      </x:c>
      <x:c r="H256" t="str">
        <x:v>Catanduva</x:v>
      </x:c>
      <x:c r="I256" s="34" t="n">
        <x:v>32</x:v>
      </x:c>
      <x:c r="J256" t="str">
        <x:v>ENTREGUE</x:v>
      </x:c>
      <x:c r="K256" t="str">
        <x:v>Site</x:v>
      </x:c>
      <x:c r="L256" t="str">
        <x:v>Pix</x:v>
      </x:c>
      <x:c r="M256" s="34" t="n">
        <x:v>2</x:v>
      </x:c>
      <x:c r="N256" t="str">
        <x:v>Teclado Membrana ABNT2</x:v>
      </x:c>
      <x:c r="O256" t="str">
        <x:v>Periféricos</x:v>
      </x:c>
      <x:c r="P256" t="str">
        <x:v>TechDistribuidora Brasil</x:v>
      </x:c>
      <x:c r="Q256" s="34" t="n">
        <x:v>3</x:v>
      </x:c>
      <x:c r="R256" s="36" t="n">
        <x:v>89.9</x:v>
      </x:c>
      <x:c r="S256" s="38" t="n">
        <x:v>0.05</x:v>
      </x:c>
      <x:c r="T256" s="36" t="n">
        <x:v>85.41</x:v>
      </x:c>
      <x:c r="U256" s="36" t="n">
        <x:v>269.7</x:v>
      </x:c>
      <x:c r="V256" s="36" t="n">
        <x:v>13.47</x:v>
      </x:c>
      <x:c r="W256" s="36" t="n">
        <x:v>256.23</x:v>
      </x:c>
      <x:c r="X256" s="36" t="n">
        <x:v>144</x:v>
      </x:c>
      <x:c r="Y256" s="36" t="n">
        <x:v>112.23</x:v>
      </x:c>
      <x:c r="Z256" s="38" t="n">
        <x:v>0.438</x:v>
      </x:c>
      <x:c r="AA256" s="36" t="n">
        <x:v>53.21</x:v>
      </x:c>
      <x:c r="AB256" s="34" t="n">
        <x:v>5</x:v>
      </x:c>
      <x:c r="AC256" t="str"/>
    </x:row>
    <x:row r="257">
      <x:c r="A257" s="34" t="n">
        <x:v>256</x:v>
      </x:c>
      <x:c r="B257" s="34" t="n">
        <x:v>152</x:v>
      </x:c>
      <x:c r="C257" s="32" t="n">
        <x:v>46058</x:v>
      </x:c>
      <x:c r="D257" t="str">
        <x:v>2026-02</x:v>
      </x:c>
      <x:c r="E257" s="34" t="n">
        <x:v>35</x:v>
      </x:c>
      <x:c r="F257" t="str">
        <x:v>Sofia Santos</x:v>
      </x:c>
      <x:c r="G257" t="str">
        <x:v>PR</x:v>
      </x:c>
      <x:c r="H257" t="str">
        <x:v>Londrina</x:v>
      </x:c>
      <x:c r="I257" s="34" t="n">
        <x:v>35</x:v>
      </x:c>
      <x:c r="J257" t="str">
        <x:v>ENTREGUE</x:v>
      </x:c>
      <x:c r="K257" t="str">
        <x:v>Site</x:v>
      </x:c>
      <x:c r="L257" t="str">
        <x:v>Boleto</x:v>
      </x:c>
      <x:c r="M257" s="34" t="n">
        <x:v>5</x:v>
      </x:c>
      <x:c r="N257" t="str">
        <x:v>Mousepad Grande</x:v>
      </x:c>
      <x:c r="O257" t="str">
        <x:v>Acessórios</x:v>
      </x:c>
      <x:c r="P257" t="str">
        <x:v>Prime Eletrônicos</x:v>
      </x:c>
      <x:c r="Q257" s="34" t="n">
        <x:v>1</x:v>
      </x:c>
      <x:c r="R257" s="36" t="n">
        <x:v>39.9</x:v>
      </x:c>
      <x:c r="S257" s="38" t="n">
        <x:v>0.05</x:v>
      </x:c>
      <x:c r="T257" s="36" t="n">
        <x:v>37.9</x:v>
      </x:c>
      <x:c r="U257" s="36" t="n">
        <x:v>39.9</x:v>
      </x:c>
      <x:c r="V257" s="36" t="n">
        <x:v>2</x:v>
      </x:c>
      <x:c r="W257" s="36" t="n">
        <x:v>37.9</x:v>
      </x:c>
      <x:c r="X257" s="36" t="n">
        <x:v>17</x:v>
      </x:c>
      <x:c r="Y257" s="36" t="n">
        <x:v>20.9</x:v>
      </x:c>
      <x:c r="Z257" s="38" t="n">
        <x:v>0.5515</x:v>
      </x:c>
      <x:c r="AA257" s="36" t="n">
        <x:v>12</x:v>
      </x:c>
      <x:c r="AB257" s="34" t="n">
        <x:v>7</x:v>
      </x:c>
      <x:c r="AC257" t="str"/>
    </x:row>
    <x:row r="258">
      <x:c r="A258" s="34" t="n">
        <x:v>257</x:v>
      </x:c>
      <x:c r="B258" s="34" t="n">
        <x:v>152</x:v>
      </x:c>
      <x:c r="C258" s="32" t="n">
        <x:v>46058</x:v>
      </x:c>
      <x:c r="D258" t="str">
        <x:v>2026-02</x:v>
      </x:c>
      <x:c r="E258" s="34" t="n">
        <x:v>35</x:v>
      </x:c>
      <x:c r="F258" t="str">
        <x:v>Sofia Santos</x:v>
      </x:c>
      <x:c r="G258" t="str">
        <x:v>PR</x:v>
      </x:c>
      <x:c r="H258" t="str">
        <x:v>Londrina</x:v>
      </x:c>
      <x:c r="I258" s="34" t="n">
        <x:v>35</x:v>
      </x:c>
      <x:c r="J258" t="str">
        <x:v>ENTREGUE</x:v>
      </x:c>
      <x:c r="K258" t="str">
        <x:v>Site</x:v>
      </x:c>
      <x:c r="L258" t="str">
        <x:v>Boleto</x:v>
      </x:c>
      <x:c r="M258" s="34" t="n">
        <x:v>1</x:v>
      </x:c>
      <x:c r="N258" t="str">
        <x:v>Mouse Óptico USB</x:v>
      </x:c>
      <x:c r="O258" t="str">
        <x:v>Periféricos</x:v>
      </x:c>
      <x:c r="P258" t="str">
        <x:v>TechDistribuidora Brasil</x:v>
      </x:c>
      <x:c r="Q258" s="34" t="n">
        <x:v>2</x:v>
      </x:c>
      <x:c r="R258" s="36" t="n">
        <x:v>49.9</x:v>
      </x:c>
      <x:c r="S258" s="38" t="n">
        <x:v>0.05</x:v>
      </x:c>
      <x:c r="T258" s="36" t="n">
        <x:v>47.4</x:v>
      </x:c>
      <x:c r="U258" s="36" t="n">
        <x:v>99.8</x:v>
      </x:c>
      <x:c r="V258" s="36" t="n">
        <x:v>5</x:v>
      </x:c>
      <x:c r="W258" s="36" t="n">
        <x:v>94.8</x:v>
      </x:c>
      <x:c r="X258" s="36" t="n">
        <x:v>50</x:v>
      </x:c>
      <x:c r="Y258" s="36" t="n">
        <x:v>44.8</x:v>
      </x:c>
      <x:c r="Z258" s="38" t="n">
        <x:v>0.4726</x:v>
      </x:c>
      <x:c r="AA258" s="36" t="n">
        <x:v>12</x:v>
      </x:c>
      <x:c r="AB258" s="34" t="n">
        <x:v>7</x:v>
      </x:c>
      <x:c r="AC258" t="str"/>
    </x:row>
    <x:row r="259">
      <x:c r="A259" s="34" t="n">
        <x:v>258</x:v>
      </x:c>
      <x:c r="B259" s="34" t="n">
        <x:v>153</x:v>
      </x:c>
      <x:c r="C259" s="32" t="n">
        <x:v>46163</x:v>
      </x:c>
      <x:c r="D259" t="str">
        <x:v>2026-05</x:v>
      </x:c>
      <x:c r="E259" s="34" t="n">
        <x:v>34</x:v>
      </x:c>
      <x:c r="F259" t="str">
        <x:v>Vitor Martins</x:v>
      </x:c>
      <x:c r="G259" t="str">
        <x:v>RJ</x:v>
      </x:c>
      <x:c r="H259" t="str">
        <x:v>Rio de Janeiro</x:v>
      </x:c>
      <x:c r="I259" s="34" t="n">
        <x:v>60</x:v>
      </x:c>
      <x:c r="J259" t="str">
        <x:v>EM PROCESSAMENTO</x:v>
      </x:c>
      <x:c r="K259" t="str">
        <x:v>Site</x:v>
      </x:c>
      <x:c r="L259" t="str">
        <x:v>Cartão débito</x:v>
      </x:c>
      <x:c r="M259" s="34" t="n">
        <x:v>7</x:v>
      </x:c>
      <x:c r="N259" t="str">
        <x:v>Adaptador USB-C HDMI</x:v>
      </x:c>
      <x:c r="O259" t="str">
        <x:v>Acessórios</x:v>
      </x:c>
      <x:c r="P259" t="str">
        <x:v>Prime Eletrônicos</x:v>
      </x:c>
      <x:c r="Q259" s="34" t="n">
        <x:v>2</x:v>
      </x:c>
      <x:c r="R259" s="36" t="n">
        <x:v>119.9</x:v>
      </x:c>
      <x:c r="S259" s="38" t="n">
        <x:v>0.05</x:v>
      </x:c>
      <x:c r="T259" s="36" t="n">
        <x:v>113.91</x:v>
      </x:c>
      <x:c r="U259" s="36" t="n">
        <x:v>239.8</x:v>
      </x:c>
      <x:c r="V259" s="36" t="n">
        <x:v>11.98</x:v>
      </x:c>
      <x:c r="W259" s="36" t="n">
        <x:v>227.82</x:v>
      </x:c>
      <x:c r="X259" s="36" t="n">
        <x:v>116</x:v>
      </x:c>
      <x:c r="Y259" s="36" t="n">
        <x:v>111.82</x:v>
      </x:c>
      <x:c r="Z259" s="38" t="n">
        <x:v>0.4908</x:v>
      </x:c>
      <x:c r="AA259" s="36" t="n">
        <x:v>12</x:v>
      </x:c>
      <x:c r="AB259" s="34"/>
      <x:c r="AC259" t="str"/>
    </x:row>
    <x:row r="260">
      <x:c r="A260" s="34" t="n">
        <x:v>259</x:v>
      </x:c>
      <x:c r="B260" s="34" t="n">
        <x:v>153</x:v>
      </x:c>
      <x:c r="C260" s="32" t="n">
        <x:v>46163</x:v>
      </x:c>
      <x:c r="D260" t="str">
        <x:v>2026-05</x:v>
      </x:c>
      <x:c r="E260" s="34" t="n">
        <x:v>34</x:v>
      </x:c>
      <x:c r="F260" t="str">
        <x:v>Vitor Martins</x:v>
      </x:c>
      <x:c r="G260" t="str">
        <x:v>RJ</x:v>
      </x:c>
      <x:c r="H260" t="str">
        <x:v>Rio de Janeiro</x:v>
      </x:c>
      <x:c r="I260" s="34" t="n">
        <x:v>60</x:v>
      </x:c>
      <x:c r="J260" t="str">
        <x:v>EM PROCESSAMENTO</x:v>
      </x:c>
      <x:c r="K260" t="str">
        <x:v>Site</x:v>
      </x:c>
      <x:c r="L260" t="str">
        <x:v>Cartão débito</x:v>
      </x:c>
      <x:c r="M260" s="34" t="n">
        <x:v>28</x:v>
      </x:c>
      <x:c r="N260" t="str">
        <x:v>Repetidor Wi-Fi</x:v>
      </x:c>
      <x:c r="O260" t="str">
        <x:v>Rede</x:v>
      </x:c>
      <x:c r="P260" t="str">
        <x:v>Connect Rede</x:v>
      </x:c>
      <x:c r="Q260" s="34" t="n">
        <x:v>1</x:v>
      </x:c>
      <x:c r="R260" s="36" t="n">
        <x:v>139.9</x:v>
      </x:c>
      <x:c r="S260" s="38" t="n">
        <x:v>0.03</x:v>
      </x:c>
      <x:c r="T260" s="36" t="n">
        <x:v>135.7</x:v>
      </x:c>
      <x:c r="U260" s="36" t="n">
        <x:v>139.9</x:v>
      </x:c>
      <x:c r="V260" s="36" t="n">
        <x:v>4.2</x:v>
      </x:c>
      <x:c r="W260" s="36" t="n">
        <x:v>135.7</x:v>
      </x:c>
      <x:c r="X260" s="36" t="n">
        <x:v>69</x:v>
      </x:c>
      <x:c r="Y260" s="36" t="n">
        <x:v>66.7</x:v>
      </x:c>
      <x:c r="Z260" s="38" t="n">
        <x:v>0.4915</x:v>
      </x:c>
      <x:c r="AA260" s="36" t="n">
        <x:v>12</x:v>
      </x:c>
      <x:c r="AB260" s="34"/>
      <x:c r="AC260" t="str"/>
    </x:row>
    <x:row r="261">
      <x:c r="A261" s="34" t="n">
        <x:v>260</x:v>
      </x:c>
      <x:c r="B261" s="34" t="n">
        <x:v>153</x:v>
      </x:c>
      <x:c r="C261" s="32" t="n">
        <x:v>46163</x:v>
      </x:c>
      <x:c r="D261" t="str">
        <x:v>2026-05</x:v>
      </x:c>
      <x:c r="E261" s="34" t="n">
        <x:v>34</x:v>
      </x:c>
      <x:c r="F261" t="str">
        <x:v>Vitor Martins</x:v>
      </x:c>
      <x:c r="G261" t="str">
        <x:v>RJ</x:v>
      </x:c>
      <x:c r="H261" t="str">
        <x:v>Rio de Janeiro</x:v>
      </x:c>
      <x:c r="I261" s="34" t="n">
        <x:v>60</x:v>
      </x:c>
      <x:c r="J261" t="str">
        <x:v>EM PROCESSAMENTO</x:v>
      </x:c>
      <x:c r="K261" t="str">
        <x:v>Site</x:v>
      </x:c>
      <x:c r="L261" t="str">
        <x:v>Cartão débito</x:v>
      </x:c>
      <x:c r="M261" s="34" t="n">
        <x:v>3</x:v>
      </x:c>
      <x:c r="N261" t="str">
        <x:v>Headset Gamer P2</x:v>
      </x:c>
      <x:c r="O261" t="str">
        <x:v>Periféricos</x:v>
      </x:c>
      <x:c r="P261" t="str">
        <x:v>FastHardware</x:v>
      </x:c>
      <x:c r="Q261" s="34" t="n">
        <x:v>1</x:v>
      </x:c>
      <x:c r="R261" s="36" t="n">
        <x:v>159.9</x:v>
      </x:c>
      <x:c r="S261" s="38" t="n">
        <x:v>0</x:v>
      </x:c>
      <x:c r="T261" s="36" t="n">
        <x:v>159.9</x:v>
      </x:c>
      <x:c r="U261" s="36" t="n">
        <x:v>159.9</x:v>
      </x:c>
      <x:c r="V261" s="36" t="n">
        <x:v>0</x:v>
      </x:c>
      <x:c r="W261" s="36" t="n">
        <x:v>159.9</x:v>
      </x:c>
      <x:c r="X261" s="36" t="n">
        <x:v>84</x:v>
      </x:c>
      <x:c r="Y261" s="36" t="n">
        <x:v>75.9</x:v>
      </x:c>
      <x:c r="Z261" s="38" t="n">
        <x:v>0.4747</x:v>
      </x:c>
      <x:c r="AA261" s="36" t="n">
        <x:v>12</x:v>
      </x:c>
      <x:c r="AB261" s="34"/>
      <x:c r="AC261" t="str"/>
    </x:row>
    <x:row r="262">
      <x:c r="A262" s="34" t="n">
        <x:v>261</x:v>
      </x:c>
      <x:c r="B262" s="34" t="n">
        <x:v>153</x:v>
      </x:c>
      <x:c r="C262" s="32" t="n">
        <x:v>46163</x:v>
      </x:c>
      <x:c r="D262" t="str">
        <x:v>2026-05</x:v>
      </x:c>
      <x:c r="E262" s="34" t="n">
        <x:v>34</x:v>
      </x:c>
      <x:c r="F262" t="str">
        <x:v>Vitor Martins</x:v>
      </x:c>
      <x:c r="G262" t="str">
        <x:v>RJ</x:v>
      </x:c>
      <x:c r="H262" t="str">
        <x:v>Rio de Janeiro</x:v>
      </x:c>
      <x:c r="I262" s="34" t="n">
        <x:v>60</x:v>
      </x:c>
      <x:c r="J262" t="str">
        <x:v>EM PROCESSAMENTO</x:v>
      </x:c>
      <x:c r="K262" t="str">
        <x:v>Site</x:v>
      </x:c>
      <x:c r="L262" t="str">
        <x:v>Cartão débito</x:v>
      </x:c>
      <x:c r="M262" s="34" t="n">
        <x:v>5</x:v>
      </x:c>
      <x:c r="N262" t="str">
        <x:v>Mousepad Grande</x:v>
      </x:c>
      <x:c r="O262" t="str">
        <x:v>Acessórios</x:v>
      </x:c>
      <x:c r="P262" t="str">
        <x:v>Prime Eletrônicos</x:v>
      </x:c>
      <x:c r="Q262" s="34" t="n">
        <x:v>2</x:v>
      </x:c>
      <x:c r="R262" s="36" t="n">
        <x:v>39.9</x:v>
      </x:c>
      <x:c r="S262" s="38" t="n">
        <x:v>0</x:v>
      </x:c>
      <x:c r="T262" s="36" t="n">
        <x:v>39.9</x:v>
      </x:c>
      <x:c r="U262" s="36" t="n">
        <x:v>79.8</x:v>
      </x:c>
      <x:c r="V262" s="36" t="n">
        <x:v>0</x:v>
      </x:c>
      <x:c r="W262" s="36" t="n">
        <x:v>79.8</x:v>
      </x:c>
      <x:c r="X262" s="36" t="n">
        <x:v>34</x:v>
      </x:c>
      <x:c r="Y262" s="36" t="n">
        <x:v>45.8</x:v>
      </x:c>
      <x:c r="Z262" s="38" t="n">
        <x:v>0.5739</x:v>
      </x:c>
      <x:c r="AA262" s="36" t="n">
        <x:v>12</x:v>
      </x:c>
      <x:c r="AB262" s="34"/>
      <x:c r="AC262" t="str"/>
    </x:row>
    <x:row r="263">
      <x:c r="A263" s="34" t="n">
        <x:v>262</x:v>
      </x:c>
      <x:c r="B263" s="34" t="n">
        <x:v>154</x:v>
      </x:c>
      <x:c r="C263" s="32" t="n">
        <x:v>46174</x:v>
      </x:c>
      <x:c r="D263" t="str">
        <x:v>2026-06</x:v>
      </x:c>
      <x:c r="E263" s="34" t="n">
        <x:v>9</x:v>
      </x:c>
      <x:c r="F263" t="str">
        <x:v>Yasmin Almeida</x:v>
      </x:c>
      <x:c r="G263" t="str">
        <x:v>SP</x:v>
      </x:c>
      <x:c r="H263" t="str">
        <x:v>Catanduva</x:v>
      </x:c>
      <x:c r="I263" s="34" t="n">
        <x:v>33</x:v>
      </x:c>
      <x:c r="J263" t="str">
        <x:v>ENTREGUE</x:v>
      </x:c>
      <x:c r="K263" t="str">
        <x:v>Indicação</x:v>
      </x:c>
      <x:c r="L263" t="str">
        <x:v>Pix</x:v>
      </x:c>
      <x:c r="M263" s="34" t="n">
        <x:v>5</x:v>
      </x:c>
      <x:c r="N263" t="str">
        <x:v>Mousepad Grande</x:v>
      </x:c>
      <x:c r="O263" t="str">
        <x:v>Acessórios</x:v>
      </x:c>
      <x:c r="P263" t="str">
        <x:v>Prime Eletrônicos</x:v>
      </x:c>
      <x:c r="Q263" s="34" t="n">
        <x:v>1</x:v>
      </x:c>
      <x:c r="R263" s="36" t="n">
        <x:v>39.9</x:v>
      </x:c>
      <x:c r="S263" s="38" t="n">
        <x:v>0</x:v>
      </x:c>
      <x:c r="T263" s="36" t="n">
        <x:v>39.9</x:v>
      </x:c>
      <x:c r="U263" s="36" t="n">
        <x:v>39.9</x:v>
      </x:c>
      <x:c r="V263" s="36" t="n">
        <x:v>0</x:v>
      </x:c>
      <x:c r="W263" s="36" t="n">
        <x:v>39.9</x:v>
      </x:c>
      <x:c r="X263" s="36" t="n">
        <x:v>17</x:v>
      </x:c>
      <x:c r="Y263" s="36" t="n">
        <x:v>22.9</x:v>
      </x:c>
      <x:c r="Z263" s="38" t="n">
        <x:v>0.5739</x:v>
      </x:c>
      <x:c r="AA263" s="36" t="n">
        <x:v>25.54</x:v>
      </x:c>
      <x:c r="AB263" s="34" t="n">
        <x:v>1</x:v>
      </x:c>
      <x:c r="AC263" t="str"/>
    </x:row>
    <x:row r="264">
      <x:c r="A264" s="34" t="n">
        <x:v>263</x:v>
      </x:c>
      <x:c r="B264" s="34" t="n">
        <x:v>155</x:v>
      </x:c>
      <x:c r="C264" s="32" t="n">
        <x:v>46177</x:v>
      </x:c>
      <x:c r="D264" t="str">
        <x:v>2026-06</x:v>
      </x:c>
      <x:c r="E264" s="34" t="n">
        <x:v>50</x:v>
      </x:c>
      <x:c r="F264" t="str">
        <x:v>Rodrigo Lima</x:v>
      </x:c>
      <x:c r="G264" t="str">
        <x:v>MG</x:v>
      </x:c>
      <x:c r="H264" t="str">
        <x:v>Uberlândia</x:v>
      </x:c>
      <x:c r="I264" s="34" t="n">
        <x:v>47</x:v>
      </x:c>
      <x:c r="J264" t="str">
        <x:v>EM PROCESSAMENTO</x:v>
      </x:c>
      <x:c r="K264" t="str">
        <x:v>Site</x:v>
      </x:c>
      <x:c r="L264" t="str">
        <x:v>Cartão crédito</x:v>
      </x:c>
      <x:c r="M264" s="34" t="n">
        <x:v>2</x:v>
      </x:c>
      <x:c r="N264" t="str">
        <x:v>Teclado Membrana ABNT2</x:v>
      </x:c>
      <x:c r="O264" t="str">
        <x:v>Periféricos</x:v>
      </x:c>
      <x:c r="P264" t="str">
        <x:v>TechDistribuidora Brasil</x:v>
      </x:c>
      <x:c r="Q264" s="34" t="n">
        <x:v>1</x:v>
      </x:c>
      <x:c r="R264" s="36" t="n">
        <x:v>89.9</x:v>
      </x:c>
      <x:c r="S264" s="38" t="n">
        <x:v>0.08</x:v>
      </x:c>
      <x:c r="T264" s="36" t="n">
        <x:v>82.71</x:v>
      </x:c>
      <x:c r="U264" s="36" t="n">
        <x:v>89.9</x:v>
      </x:c>
      <x:c r="V264" s="36" t="n">
        <x:v>7.19</x:v>
      </x:c>
      <x:c r="W264" s="36" t="n">
        <x:v>82.71</x:v>
      </x:c>
      <x:c r="X264" s="36" t="n">
        <x:v>48</x:v>
      </x:c>
      <x:c r="Y264" s="36" t="n">
        <x:v>34.71</x:v>
      </x:c>
      <x:c r="Z264" s="38" t="n">
        <x:v>0.4197</x:v>
      </x:c>
      <x:c r="AA264" s="36" t="n">
        <x:v>17.97</x:v>
      </x:c>
      <x:c r="AB264" s="34"/>
      <x:c r="AC264" t="str"/>
    </x:row>
    <x:row r="265">
      <x:c r="A265" s="34" t="n">
        <x:v>264</x:v>
      </x:c>
      <x:c r="B265" s="34" t="n">
        <x:v>155</x:v>
      </x:c>
      <x:c r="C265" s="32" t="n">
        <x:v>46177</x:v>
      </x:c>
      <x:c r="D265" t="str">
        <x:v>2026-06</x:v>
      </x:c>
      <x:c r="E265" s="34" t="n">
        <x:v>50</x:v>
      </x:c>
      <x:c r="F265" t="str">
        <x:v>Rodrigo Lima</x:v>
      </x:c>
      <x:c r="G265" t="str">
        <x:v>MG</x:v>
      </x:c>
      <x:c r="H265" t="str">
        <x:v>Uberlândia</x:v>
      </x:c>
      <x:c r="I265" s="34" t="n">
        <x:v>47</x:v>
      </x:c>
      <x:c r="J265" t="str">
        <x:v>EM PROCESSAMENTO</x:v>
      </x:c>
      <x:c r="K265" t="str">
        <x:v>Site</x:v>
      </x:c>
      <x:c r="L265" t="str">
        <x:v>Cartão crédito</x:v>
      </x:c>
      <x:c r="M265" s="34" t="n">
        <x:v>8</x:v>
      </x:c>
      <x:c r="N265" t="str">
        <x:v>Suporte Articulado para Monitor</x:v>
      </x:c>
      <x:c r="O265" t="str">
        <x:v>Acessórios</x:v>
      </x:c>
      <x:c r="P265" t="str">
        <x:v>OfficeTech Supply</x:v>
      </x:c>
      <x:c r="Q265" s="34" t="n">
        <x:v>1</x:v>
      </x:c>
      <x:c r="R265" s="36" t="n">
        <x:v>149.9</x:v>
      </x:c>
      <x:c r="S265" s="38" t="n">
        <x:v>0.08</x:v>
      </x:c>
      <x:c r="T265" s="36" t="n">
        <x:v>137.91</x:v>
      </x:c>
      <x:c r="U265" s="36" t="n">
        <x:v>149.9</x:v>
      </x:c>
      <x:c r="V265" s="36" t="n">
        <x:v>11.99</x:v>
      </x:c>
      <x:c r="W265" s="36" t="n">
        <x:v>137.91</x:v>
      </x:c>
      <x:c r="X265" s="36" t="n">
        <x:v>73</x:v>
      </x:c>
      <x:c r="Y265" s="36" t="n">
        <x:v>64.91</x:v>
      </x:c>
      <x:c r="Z265" s="38" t="n">
        <x:v>0.4707</x:v>
      </x:c>
      <x:c r="AA265" s="36" t="n">
        <x:v>17.97</x:v>
      </x:c>
      <x:c r="AB265" s="34"/>
      <x:c r="AC265" t="str"/>
    </x:row>
    <x:row r="266">
      <x:c r="A266" s="34" t="n">
        <x:v>265</x:v>
      </x:c>
      <x:c r="B266" s="34" t="n">
        <x:v>156</x:v>
      </x:c>
      <x:c r="C266" s="32" t="n">
        <x:v>46175</x:v>
      </x:c>
      <x:c r="D266" t="str">
        <x:v>2026-06</x:v>
      </x:c>
      <x:c r="E266" s="34" t="n">
        <x:v>46</x:v>
      </x:c>
      <x:c r="F266" t="str">
        <x:v>Bruno Ribeiro</x:v>
      </x:c>
      <x:c r="G266" t="str">
        <x:v>SP</x:v>
      </x:c>
      <x:c r="H266" t="str">
        <x:v>São Paulo</x:v>
      </x:c>
      <x:c r="I266" s="34" t="n">
        <x:v>52</x:v>
      </x:c>
      <x:c r="J266" t="str">
        <x:v>ENVIADO</x:v>
      </x:c>
      <x:c r="K266" t="str">
        <x:v>Site</x:v>
      </x:c>
      <x:c r="L266" t="str">
        <x:v>Cartão crédito</x:v>
      </x:c>
      <x:c r="M266" s="34" t="n">
        <x:v>1</x:v>
      </x:c>
      <x:c r="N266" t="str">
        <x:v>Mouse Óptico USB</x:v>
      </x:c>
      <x:c r="O266" t="str">
        <x:v>Periféricos</x:v>
      </x:c>
      <x:c r="P266" t="str">
        <x:v>TechDistribuidora Brasil</x:v>
      </x:c>
      <x:c r="Q266" s="34" t="n">
        <x:v>1</x:v>
      </x:c>
      <x:c r="R266" s="36" t="n">
        <x:v>49.9</x:v>
      </x:c>
      <x:c r="S266" s="38" t="n">
        <x:v>0.12</x:v>
      </x:c>
      <x:c r="T266" s="36" t="n">
        <x:v>43.91</x:v>
      </x:c>
      <x:c r="U266" s="36" t="n">
        <x:v>49.9</x:v>
      </x:c>
      <x:c r="V266" s="36" t="n">
        <x:v>5.99</x:v>
      </x:c>
      <x:c r="W266" s="36" t="n">
        <x:v>43.91</x:v>
      </x:c>
      <x:c r="X266" s="36" t="n">
        <x:v>25</x:v>
      </x:c>
      <x:c r="Y266" s="36" t="n">
        <x:v>18.91</x:v>
      </x:c>
      <x:c r="Z266" s="38" t="n">
        <x:v>0.4307</x:v>
      </x:c>
      <x:c r="AA266" s="36" t="n">
        <x:v>49.33</x:v>
      </x:c>
      <x:c r="AB266" s="34" t="n">
        <x:v>1</x:v>
      </x:c>
      <x:c r="AC266" t="str"/>
    </x:row>
    <x:row r="267">
      <x:c r="A267" s="34" t="n">
        <x:v>266</x:v>
      </x:c>
      <x:c r="B267" s="34" t="n">
        <x:v>156</x:v>
      </x:c>
      <x:c r="C267" s="32" t="n">
        <x:v>46175</x:v>
      </x:c>
      <x:c r="D267" t="str">
        <x:v>2026-06</x:v>
      </x:c>
      <x:c r="E267" s="34" t="n">
        <x:v>46</x:v>
      </x:c>
      <x:c r="F267" t="str">
        <x:v>Bruno Ribeiro</x:v>
      </x:c>
      <x:c r="G267" t="str">
        <x:v>SP</x:v>
      </x:c>
      <x:c r="H267" t="str">
        <x:v>São Paulo</x:v>
      </x:c>
      <x:c r="I267" s="34" t="n">
        <x:v>52</x:v>
      </x:c>
      <x:c r="J267" t="str">
        <x:v>ENVIADO</x:v>
      </x:c>
      <x:c r="K267" t="str">
        <x:v>Site</x:v>
      </x:c>
      <x:c r="L267" t="str">
        <x:v>Cartão crédito</x:v>
      </x:c>
      <x:c r="M267" s="34" t="n">
        <x:v>26</x:v>
      </x:c>
      <x:c r="N267" t="str">
        <x:v>Switch 8 Portas Gigabit</x:v>
      </x:c>
      <x:c r="O267" t="str">
        <x:v>Rede</x:v>
      </x:c>
      <x:c r="P267" t="str">
        <x:v>Connect Rede</x:v>
      </x:c>
      <x:c r="Q267" s="34" t="n">
        <x:v>1</x:v>
      </x:c>
      <x:c r="R267" s="36" t="n">
        <x:v>189.9</x:v>
      </x:c>
      <x:c r="S267" s="38" t="n">
        <x:v>0</x:v>
      </x:c>
      <x:c r="T267" s="36" t="n">
        <x:v>189.9</x:v>
      </x:c>
      <x:c r="U267" s="36" t="n">
        <x:v>189.9</x:v>
      </x:c>
      <x:c r="V267" s="36" t="n">
        <x:v>0</x:v>
      </x:c>
      <x:c r="W267" s="36" t="n">
        <x:v>189.9</x:v>
      </x:c>
      <x:c r="X267" s="36" t="n">
        <x:v>103</x:v>
      </x:c>
      <x:c r="Y267" s="36" t="n">
        <x:v>86.9</x:v>
      </x:c>
      <x:c r="Z267" s="38" t="n">
        <x:v>0.4576</x:v>
      </x:c>
      <x:c r="AA267" s="36" t="n">
        <x:v>49.33</x:v>
      </x:c>
      <x:c r="AB267" s="34" t="n">
        <x:v>1</x:v>
      </x:c>
      <x:c r="AC267" t="str"/>
    </x:row>
    <x:row r="268">
      <x:c r="A268" s="34" t="n">
        <x:v>267</x:v>
      </x:c>
      <x:c r="B268" s="34" t="n">
        <x:v>157</x:v>
      </x:c>
      <x:c r="C268" s="32" t="n">
        <x:v>46120</x:v>
      </x:c>
      <x:c r="D268" t="str">
        <x:v>2026-04</x:v>
      </x:c>
      <x:c r="E268" s="34" t="n">
        <x:v>48</x:v>
      </x:c>
      <x:c r="F268" t="str">
        <x:v>Caio Rodrigues</x:v>
      </x:c>
      <x:c r="G268" t="str">
        <x:v>SP</x:v>
      </x:c>
      <x:c r="H268" t="str">
        <x:v>Ribeirão Preto</x:v>
      </x:c>
      <x:c r="I268" s="34" t="n">
        <x:v>36</x:v>
      </x:c>
      <x:c r="J268" t="str">
        <x:v>ENTREGUE</x:v>
      </x:c>
      <x:c r="K268" t="str">
        <x:v>Site</x:v>
      </x:c>
      <x:c r="L268" t="str">
        <x:v>Pix</x:v>
      </x:c>
      <x:c r="M268" s="34" t="n">
        <x:v>2</x:v>
      </x:c>
      <x:c r="N268" t="str">
        <x:v>Teclado Membrana ABNT2</x:v>
      </x:c>
      <x:c r="O268" t="str">
        <x:v>Periféricos</x:v>
      </x:c>
      <x:c r="P268" t="str">
        <x:v>TechDistribuidora Brasil</x:v>
      </x:c>
      <x:c r="Q268" s="34" t="n">
        <x:v>1</x:v>
      </x:c>
      <x:c r="R268" s="36" t="n">
        <x:v>89.9</x:v>
      </x:c>
      <x:c r="S268" s="38" t="n">
        <x:v>0.05</x:v>
      </x:c>
      <x:c r="T268" s="36" t="n">
        <x:v>85.41</x:v>
      </x:c>
      <x:c r="U268" s="36" t="n">
        <x:v>89.9</x:v>
      </x:c>
      <x:c r="V268" s="36" t="n">
        <x:v>4.49</x:v>
      </x:c>
      <x:c r="W268" s="36" t="n">
        <x:v>85.41</x:v>
      </x:c>
      <x:c r="X268" s="36" t="n">
        <x:v>48</x:v>
      </x:c>
      <x:c r="Y268" s="36" t="n">
        <x:v>37.41</x:v>
      </x:c>
      <x:c r="Z268" s="38" t="n">
        <x:v>0.438</x:v>
      </x:c>
      <x:c r="AA268" s="36" t="n">
        <x:v>44.29</x:v>
      </x:c>
      <x:c r="AB268" s="34" t="n">
        <x:v>5</x:v>
      </x:c>
      <x:c r="AC268" t="str"/>
    </x:row>
    <x:row r="269">
      <x:c r="A269" s="34" t="n">
        <x:v>268</x:v>
      </x:c>
      <x:c r="B269" s="34" t="n">
        <x:v>157</x:v>
      </x:c>
      <x:c r="C269" s="32" t="n">
        <x:v>46120</x:v>
      </x:c>
      <x:c r="D269" t="str">
        <x:v>2026-04</x:v>
      </x:c>
      <x:c r="E269" s="34" t="n">
        <x:v>48</x:v>
      </x:c>
      <x:c r="F269" t="str">
        <x:v>Caio Rodrigues</x:v>
      </x:c>
      <x:c r="G269" t="str">
        <x:v>SP</x:v>
      </x:c>
      <x:c r="H269" t="str">
        <x:v>Ribeirão Preto</x:v>
      </x:c>
      <x:c r="I269" s="34" t="n">
        <x:v>36</x:v>
      </x:c>
      <x:c r="J269" t="str">
        <x:v>ENTREGUE</x:v>
      </x:c>
      <x:c r="K269" t="str">
        <x:v>Site</x:v>
      </x:c>
      <x:c r="L269" t="str">
        <x:v>Pix</x:v>
      </x:c>
      <x:c r="M269" s="34" t="n">
        <x:v>25</x:v>
      </x:c>
      <x:c r="N269" t="str">
        <x:v>Roteador Wi-Fi AC1200</x:v>
      </x:c>
      <x:c r="O269" t="str">
        <x:v>Rede</x:v>
      </x:c>
      <x:c r="P269" t="str">
        <x:v>Connect Rede</x:v>
      </x:c>
      <x:c r="Q269" s="34" t="n">
        <x:v>3</x:v>
      </x:c>
      <x:c r="R269" s="36" t="n">
        <x:v>249.9</x:v>
      </x:c>
      <x:c r="S269" s="38" t="n">
        <x:v>0</x:v>
      </x:c>
      <x:c r="T269" s="36" t="n">
        <x:v>249.9</x:v>
      </x:c>
      <x:c r="U269" s="36" t="n">
        <x:v>749.7</x:v>
      </x:c>
      <x:c r="V269" s="36" t="n">
        <x:v>0</x:v>
      </x:c>
      <x:c r="W269" s="36" t="n">
        <x:v>749.7</x:v>
      </x:c>
      <x:c r="X269" s="36" t="n">
        <x:v>435</x:v>
      </x:c>
      <x:c r="Y269" s="36" t="n">
        <x:v>314.7</x:v>
      </x:c>
      <x:c r="Z269" s="38" t="n">
        <x:v>0.4198</x:v>
      </x:c>
      <x:c r="AA269" s="36" t="n">
        <x:v>44.29</x:v>
      </x:c>
      <x:c r="AB269" s="34" t="n">
        <x:v>5</x:v>
      </x:c>
      <x:c r="AC269" t="str"/>
    </x:row>
    <x:row r="270">
      <x:c r="A270" s="34" t="n">
        <x:v>269</x:v>
      </x:c>
      <x:c r="B270" s="34" t="n">
        <x:v>158</x:v>
      </x:c>
      <x:c r="C270" s="32" t="n">
        <x:v>46142</x:v>
      </x:c>
      <x:c r="D270" t="str">
        <x:v>2026-04</x:v>
      </x:c>
      <x:c r="E270" s="34" t="n">
        <x:v>59</x:v>
      </x:c>
      <x:c r="F270" t="str">
        <x:v>Letícia Souza</x:v>
      </x:c>
      <x:c r="G270" t="str">
        <x:v>SP</x:v>
      </x:c>
      <x:c r="H270" t="str">
        <x:v>Votuporanga</x:v>
      </x:c>
      <x:c r="I270" s="34" t="n">
        <x:v>39</x:v>
      </x:c>
      <x:c r="J270" t="str">
        <x:v>ENTREGUE</x:v>
      </x:c>
      <x:c r="K270" t="str">
        <x:v>Indicação</x:v>
      </x:c>
      <x:c r="L270" t="str">
        <x:v>Cartão crédito</x:v>
      </x:c>
      <x:c r="M270" s="34" t="n">
        <x:v>1</x:v>
      </x:c>
      <x:c r="N270" t="str">
        <x:v>Mouse Óptico USB</x:v>
      </x:c>
      <x:c r="O270" t="str">
        <x:v>Periféricos</x:v>
      </x:c>
      <x:c r="P270" t="str">
        <x:v>TechDistribuidora Brasil</x:v>
      </x:c>
      <x:c r="Q270" s="34" t="n">
        <x:v>1</x:v>
      </x:c>
      <x:c r="R270" s="36" t="n">
        <x:v>49.9</x:v>
      </x:c>
      <x:c r="S270" s="38" t="n">
        <x:v>0.03</x:v>
      </x:c>
      <x:c r="T270" s="36" t="n">
        <x:v>48.4</x:v>
      </x:c>
      <x:c r="U270" s="36" t="n">
        <x:v>49.9</x:v>
      </x:c>
      <x:c r="V270" s="36" t="n">
        <x:v>1.5</x:v>
      </x:c>
      <x:c r="W270" s="36" t="n">
        <x:v>48.4</x:v>
      </x:c>
      <x:c r="X270" s="36" t="n">
        <x:v>25</x:v>
      </x:c>
      <x:c r="Y270" s="36" t="n">
        <x:v>23.4</x:v>
      </x:c>
      <x:c r="Z270" s="38" t="n">
        <x:v>0.4835</x:v>
      </x:c>
      <x:c r="AA270" s="36" t="n">
        <x:v>22.96</x:v>
      </x:c>
      <x:c r="AB270" s="34" t="n">
        <x:v>4</x:v>
      </x:c>
      <x:c r="AC270" t="str"/>
    </x:row>
    <x:row r="271">
      <x:c r="A271" s="34" t="n">
        <x:v>270</x:v>
      </x:c>
      <x:c r="B271" s="34" t="n">
        <x:v>158</x:v>
      </x:c>
      <x:c r="C271" s="32" t="n">
        <x:v>46142</x:v>
      </x:c>
      <x:c r="D271" t="str">
        <x:v>2026-04</x:v>
      </x:c>
      <x:c r="E271" s="34" t="n">
        <x:v>59</x:v>
      </x:c>
      <x:c r="F271" t="str">
        <x:v>Letícia Souza</x:v>
      </x:c>
      <x:c r="G271" t="str">
        <x:v>SP</x:v>
      </x:c>
      <x:c r="H271" t="str">
        <x:v>Votuporanga</x:v>
      </x:c>
      <x:c r="I271" s="34" t="n">
        <x:v>39</x:v>
      </x:c>
      <x:c r="J271" t="str">
        <x:v>ENTREGUE</x:v>
      </x:c>
      <x:c r="K271" t="str">
        <x:v>Indicação</x:v>
      </x:c>
      <x:c r="L271" t="str">
        <x:v>Cartão crédito</x:v>
      </x:c>
      <x:c r="M271" s="34" t="n">
        <x:v>27</x:v>
      </x:c>
      <x:c r="N271" t="str">
        <x:v>Placa de Rede PCIe</x:v>
      </x:c>
      <x:c r="O271" t="str">
        <x:v>Rede</x:v>
      </x:c>
      <x:c r="P271" t="str">
        <x:v>Connect Rede</x:v>
      </x:c>
      <x:c r="Q271" s="34" t="n">
        <x:v>2</x:v>
      </x:c>
      <x:c r="R271" s="36" t="n">
        <x:v>79.9</x:v>
      </x:c>
      <x:c r="S271" s="38" t="n">
        <x:v>0</x:v>
      </x:c>
      <x:c r="T271" s="36" t="n">
        <x:v>79.9</x:v>
      </x:c>
      <x:c r="U271" s="36" t="n">
        <x:v>159.8</x:v>
      </x:c>
      <x:c r="V271" s="36" t="n">
        <x:v>0</x:v>
      </x:c>
      <x:c r="W271" s="36" t="n">
        <x:v>159.8</x:v>
      </x:c>
      <x:c r="X271" s="36" t="n">
        <x:v>74</x:v>
      </x:c>
      <x:c r="Y271" s="36" t="n">
        <x:v>85.8</x:v>
      </x:c>
      <x:c r="Z271" s="38" t="n">
        <x:v>0.5369</x:v>
      </x:c>
      <x:c r="AA271" s="36" t="n">
        <x:v>22.96</x:v>
      </x:c>
      <x:c r="AB271" s="34" t="n">
        <x:v>4</x:v>
      </x:c>
      <x:c r="AC271" t="str"/>
    </x:row>
    <x:row r="272">
      <x:c r="A272" s="34" t="n">
        <x:v>271</x:v>
      </x:c>
      <x:c r="B272" s="34" t="n">
        <x:v>158</x:v>
      </x:c>
      <x:c r="C272" s="32" t="n">
        <x:v>46142</x:v>
      </x:c>
      <x:c r="D272" t="str">
        <x:v>2026-04</x:v>
      </x:c>
      <x:c r="E272" s="34" t="n">
        <x:v>59</x:v>
      </x:c>
      <x:c r="F272" t="str">
        <x:v>Letícia Souza</x:v>
      </x:c>
      <x:c r="G272" t="str">
        <x:v>SP</x:v>
      </x:c>
      <x:c r="H272" t="str">
        <x:v>Votuporanga</x:v>
      </x:c>
      <x:c r="I272" s="34" t="n">
        <x:v>39</x:v>
      </x:c>
      <x:c r="J272" t="str">
        <x:v>ENTREGUE</x:v>
      </x:c>
      <x:c r="K272" t="str">
        <x:v>Indicação</x:v>
      </x:c>
      <x:c r="L272" t="str">
        <x:v>Cartão crédito</x:v>
      </x:c>
      <x:c r="M272" s="34" t="n">
        <x:v>8</x:v>
      </x:c>
      <x:c r="N272" t="str">
        <x:v>Suporte Articulado para Monitor</x:v>
      </x:c>
      <x:c r="O272" t="str">
        <x:v>Acessórios</x:v>
      </x:c>
      <x:c r="P272" t="str">
        <x:v>OfficeTech Supply</x:v>
      </x:c>
      <x:c r="Q272" s="34" t="n">
        <x:v>1</x:v>
      </x:c>
      <x:c r="R272" s="36" t="n">
        <x:v>149.9</x:v>
      </x:c>
      <x:c r="S272" s="38" t="n">
        <x:v>0.05</x:v>
      </x:c>
      <x:c r="T272" s="36" t="n">
        <x:v>142.41</x:v>
      </x:c>
      <x:c r="U272" s="36" t="n">
        <x:v>149.9</x:v>
      </x:c>
      <x:c r="V272" s="36" t="n">
        <x:v>7.49</x:v>
      </x:c>
      <x:c r="W272" s="36" t="n">
        <x:v>142.41</x:v>
      </x:c>
      <x:c r="X272" s="36" t="n">
        <x:v>73</x:v>
      </x:c>
      <x:c r="Y272" s="36" t="n">
        <x:v>69.41</x:v>
      </x:c>
      <x:c r="Z272" s="38" t="n">
        <x:v>0.4874</x:v>
      </x:c>
      <x:c r="AA272" s="36" t="n">
        <x:v>22.96</x:v>
      </x:c>
      <x:c r="AB272" s="34" t="n">
        <x:v>4</x:v>
      </x:c>
      <x:c r="AC272" t="str"/>
    </x:row>
    <x:row r="273">
      <x:c r="A273" s="34" t="n">
        <x:v>272</x:v>
      </x:c>
      <x:c r="B273" s="34" t="n">
        <x:v>159</x:v>
      </x:c>
      <x:c r="C273" s="32" t="n">
        <x:v>46131</x:v>
      </x:c>
      <x:c r="D273" t="str">
        <x:v>2026-04</x:v>
      </x:c>
      <x:c r="E273" s="34" t="n">
        <x:v>14</x:v>
      </x:c>
      <x:c r="F273" t="str">
        <x:v>Diego Carvalho</x:v>
      </x:c>
      <x:c r="G273" t="str">
        <x:v>MG</x:v>
      </x:c>
      <x:c r="H273" t="str">
        <x:v>Belo Horizonte</x:v>
      </x:c>
      <x:c r="I273" s="34" t="n">
        <x:v>50</x:v>
      </x:c>
      <x:c r="J273" t="str">
        <x:v>ENVIADO</x:v>
      </x:c>
      <x:c r="K273" t="str">
        <x:v>WhatsApp</x:v>
      </x:c>
      <x:c r="L273" t="str">
        <x:v>Pix</x:v>
      </x:c>
      <x:c r="M273" s="34" t="n">
        <x:v>5</x:v>
      </x:c>
      <x:c r="N273" t="str">
        <x:v>Mousepad Grande</x:v>
      </x:c>
      <x:c r="O273" t="str">
        <x:v>Acessórios</x:v>
      </x:c>
      <x:c r="P273" t="str">
        <x:v>Prime Eletrônicos</x:v>
      </x:c>
      <x:c r="Q273" s="34" t="n">
        <x:v>1</x:v>
      </x:c>
      <x:c r="R273" s="36" t="n">
        <x:v>39.9</x:v>
      </x:c>
      <x:c r="S273" s="38" t="n">
        <x:v>0</x:v>
      </x:c>
      <x:c r="T273" s="36" t="n">
        <x:v>39.9</x:v>
      </x:c>
      <x:c r="U273" s="36" t="n">
        <x:v>39.9</x:v>
      </x:c>
      <x:c r="V273" s="36" t="n">
        <x:v>0</x:v>
      </x:c>
      <x:c r="W273" s="36" t="n">
        <x:v>39.9</x:v>
      </x:c>
      <x:c r="X273" s="36" t="n">
        <x:v>17</x:v>
      </x:c>
      <x:c r="Y273" s="36" t="n">
        <x:v>22.9</x:v>
      </x:c>
      <x:c r="Z273" s="38" t="n">
        <x:v>0.5739</x:v>
      </x:c>
      <x:c r="AA273" s="36" t="n">
        <x:v>35.35</x:v>
      </x:c>
      <x:c r="AB273" s="34" t="n">
        <x:v>4</x:v>
      </x:c>
      <x:c r="AC273" t="str"/>
    </x:row>
    <x:row r="274">
      <x:c r="A274" s="34" t="n">
        <x:v>273</x:v>
      </x:c>
      <x:c r="B274" s="34" t="n">
        <x:v>159</x:v>
      </x:c>
      <x:c r="C274" s="32" t="n">
        <x:v>46131</x:v>
      </x:c>
      <x:c r="D274" t="str">
        <x:v>2026-04</x:v>
      </x:c>
      <x:c r="E274" s="34" t="n">
        <x:v>14</x:v>
      </x:c>
      <x:c r="F274" t="str">
        <x:v>Diego Carvalho</x:v>
      </x:c>
      <x:c r="G274" t="str">
        <x:v>MG</x:v>
      </x:c>
      <x:c r="H274" t="str">
        <x:v>Belo Horizonte</x:v>
      </x:c>
      <x:c r="I274" s="34" t="n">
        <x:v>50</x:v>
      </x:c>
      <x:c r="J274" t="str">
        <x:v>ENVIADO</x:v>
      </x:c>
      <x:c r="K274" t="str">
        <x:v>WhatsApp</x:v>
      </x:c>
      <x:c r="L274" t="str">
        <x:v>Pix</x:v>
      </x:c>
      <x:c r="M274" s="34" t="n">
        <x:v>8</x:v>
      </x:c>
      <x:c r="N274" t="str">
        <x:v>Suporte Articulado para Monitor</x:v>
      </x:c>
      <x:c r="O274" t="str">
        <x:v>Acessórios</x:v>
      </x:c>
      <x:c r="P274" t="str">
        <x:v>OfficeTech Supply</x:v>
      </x:c>
      <x:c r="Q274" s="34" t="n">
        <x:v>2</x:v>
      </x:c>
      <x:c r="R274" s="36" t="n">
        <x:v>149.9</x:v>
      </x:c>
      <x:c r="S274" s="38" t="n">
        <x:v>0.05</x:v>
      </x:c>
      <x:c r="T274" s="36" t="n">
        <x:v>142.41</x:v>
      </x:c>
      <x:c r="U274" s="36" t="n">
        <x:v>299.8</x:v>
      </x:c>
      <x:c r="V274" s="36" t="n">
        <x:v>14.98</x:v>
      </x:c>
      <x:c r="W274" s="36" t="n">
        <x:v>284.82</x:v>
      </x:c>
      <x:c r="X274" s="36" t="n">
        <x:v>146</x:v>
      </x:c>
      <x:c r="Y274" s="36" t="n">
        <x:v>138.82</x:v>
      </x:c>
      <x:c r="Z274" s="38" t="n">
        <x:v>0.4874</x:v>
      </x:c>
      <x:c r="AA274" s="36" t="n">
        <x:v>35.35</x:v>
      </x:c>
      <x:c r="AB274" s="34" t="n">
        <x:v>4</x:v>
      </x:c>
      <x:c r="AC274" t="str"/>
    </x:row>
    <x:row r="275">
      <x:c r="A275" s="34" t="n">
        <x:v>274</x:v>
      </x:c>
      <x:c r="B275" s="34" t="n">
        <x:v>159</x:v>
      </x:c>
      <x:c r="C275" s="32" t="n">
        <x:v>46131</x:v>
      </x:c>
      <x:c r="D275" t="str">
        <x:v>2026-04</x:v>
      </x:c>
      <x:c r="E275" s="34" t="n">
        <x:v>14</x:v>
      </x:c>
      <x:c r="F275" t="str">
        <x:v>Diego Carvalho</x:v>
      </x:c>
      <x:c r="G275" t="str">
        <x:v>MG</x:v>
      </x:c>
      <x:c r="H275" t="str">
        <x:v>Belo Horizonte</x:v>
      </x:c>
      <x:c r="I275" s="34" t="n">
        <x:v>50</x:v>
      </x:c>
      <x:c r="J275" t="str">
        <x:v>ENVIADO</x:v>
      </x:c>
      <x:c r="K275" t="str">
        <x:v>WhatsApp</x:v>
      </x:c>
      <x:c r="L275" t="str">
        <x:v>Pix</x:v>
      </x:c>
      <x:c r="M275" s="34" t="n">
        <x:v>3</x:v>
      </x:c>
      <x:c r="N275" t="str">
        <x:v>Headset Gamer P2</x:v>
      </x:c>
      <x:c r="O275" t="str">
        <x:v>Periféricos</x:v>
      </x:c>
      <x:c r="P275" t="str">
        <x:v>FastHardware</x:v>
      </x:c>
      <x:c r="Q275" s="34" t="n">
        <x:v>1</x:v>
      </x:c>
      <x:c r="R275" s="36" t="n">
        <x:v>159.9</x:v>
      </x:c>
      <x:c r="S275" s="38" t="n">
        <x:v>0.12</x:v>
      </x:c>
      <x:c r="T275" s="36" t="n">
        <x:v>140.71</x:v>
      </x:c>
      <x:c r="U275" s="36" t="n">
        <x:v>159.9</x:v>
      </x:c>
      <x:c r="V275" s="36" t="n">
        <x:v>19.19</x:v>
      </x:c>
      <x:c r="W275" s="36" t="n">
        <x:v>140.71</x:v>
      </x:c>
      <x:c r="X275" s="36" t="n">
        <x:v>84</x:v>
      </x:c>
      <x:c r="Y275" s="36" t="n">
        <x:v>56.71</x:v>
      </x:c>
      <x:c r="Z275" s="38" t="n">
        <x:v>0.403</x:v>
      </x:c>
      <x:c r="AA275" s="36" t="n">
        <x:v>35.35</x:v>
      </x:c>
      <x:c r="AB275" s="34" t="n">
        <x:v>4</x:v>
      </x:c>
      <x:c r="AC275" t="str"/>
    </x:row>
    <x:row r="276">
      <x:c r="A276" s="34" t="n">
        <x:v>275</x:v>
      </x:c>
      <x:c r="B276" s="34" t="n">
        <x:v>160</x:v>
      </x:c>
      <x:c r="C276" s="32" t="n">
        <x:v>46119</x:v>
      </x:c>
      <x:c r="D276" t="str">
        <x:v>2026-04</x:v>
      </x:c>
      <x:c r="E276" s="34" t="n">
        <x:v>2</x:v>
      </x:c>
      <x:c r="F276" t="str">
        <x:v>Beatriz Costa</x:v>
      </x:c>
      <x:c r="G276" t="str">
        <x:v>SP</x:v>
      </x:c>
      <x:c r="H276" t="str">
        <x:v>Votuporanga</x:v>
      </x:c>
      <x:c r="I276" s="34" t="n">
        <x:v>24</x:v>
      </x:c>
      <x:c r="J276" t="str">
        <x:v>ENTREGUE</x:v>
      </x:c>
      <x:c r="K276" t="str">
        <x:v>Site</x:v>
      </x:c>
      <x:c r="L276" t="str">
        <x:v>Cartão crédito</x:v>
      </x:c>
      <x:c r="M276" s="34" t="n">
        <x:v>22</x:v>
      </x:c>
      <x:c r="N276" t="str">
        <x:v>Notebook Intel i3 8GB</x:v>
      </x:c>
      <x:c r="O276" t="str">
        <x:v>Notebooks</x:v>
      </x:c>
      <x:c r="P276" t="str">
        <x:v>InfoMax Atacado</x:v>
      </x:c>
      <x:c r="Q276" s="34" t="n">
        <x:v>1</x:v>
      </x:c>
      <x:c r="R276" s="36" t="n">
        <x:v>2399.9</x:v>
      </x:c>
      <x:c r="S276" s="38" t="n">
        <x:v>0.12</x:v>
      </x:c>
      <x:c r="T276" s="36" t="n">
        <x:v>2111.91</x:v>
      </x:c>
      <x:c r="U276" s="36" t="n">
        <x:v>2399.9</x:v>
      </x:c>
      <x:c r="V276" s="36" t="n">
        <x:v>287.99</x:v>
      </x:c>
      <x:c r="W276" s="36" t="n">
        <x:v>2111.91</x:v>
      </x:c>
      <x:c r="X276" s="36" t="n">
        <x:v>1980</x:v>
      </x:c>
      <x:c r="Y276" s="36" t="n">
        <x:v>131.91</x:v>
      </x:c>
      <x:c r="Z276" s="38" t="n">
        <x:v>0.0625</x:v>
      </x:c>
      <x:c r="AA276" s="36" t="n">
        <x:v>22.03</x:v>
      </x:c>
      <x:c r="AB276" s="34" t="n">
        <x:v>5</x:v>
      </x:c>
      <x:c r="AC276" t="str"/>
    </x:row>
    <x:row r="277">
      <x:c r="A277" s="34" t="n">
        <x:v>276</x:v>
      </x:c>
      <x:c r="B277" s="34" t="n">
        <x:v>160</x:v>
      </x:c>
      <x:c r="C277" s="32" t="n">
        <x:v>46119</x:v>
      </x:c>
      <x:c r="D277" t="str">
        <x:v>2026-04</x:v>
      </x:c>
      <x:c r="E277" s="34" t="n">
        <x:v>2</x:v>
      </x:c>
      <x:c r="F277" t="str">
        <x:v>Beatriz Costa</x:v>
      </x:c>
      <x:c r="G277" t="str">
        <x:v>SP</x:v>
      </x:c>
      <x:c r="H277" t="str">
        <x:v>Votuporanga</x:v>
      </x:c>
      <x:c r="I277" s="34" t="n">
        <x:v>24</x:v>
      </x:c>
      <x:c r="J277" t="str">
        <x:v>ENTREGUE</x:v>
      </x:c>
      <x:c r="K277" t="str">
        <x:v>Site</x:v>
      </x:c>
      <x:c r="L277" t="str">
        <x:v>Cartão crédito</x:v>
      </x:c>
      <x:c r="M277" s="34" t="n">
        <x:v>6</x:v>
      </x:c>
      <x:c r="N277" t="str">
        <x:v>Cabo HDMI 2m</x:v>
      </x:c>
      <x:c r="O277" t="str">
        <x:v>Acessórios</x:v>
      </x:c>
      <x:c r="P277" t="str">
        <x:v>Prime Eletrônicos</x:v>
      </x:c>
      <x:c r="Q277" s="34" t="n">
        <x:v>2</x:v>
      </x:c>
      <x:c r="R277" s="36" t="n">
        <x:v>29.9</x:v>
      </x:c>
      <x:c r="S277" s="38" t="n">
        <x:v>0.05</x:v>
      </x:c>
      <x:c r="T277" s="36" t="n">
        <x:v>28.4</x:v>
      </x:c>
      <x:c r="U277" s="36" t="n">
        <x:v>59.8</x:v>
      </x:c>
      <x:c r="V277" s="36" t="n">
        <x:v>3</x:v>
      </x:c>
      <x:c r="W277" s="36" t="n">
        <x:v>56.8</x:v>
      </x:c>
      <x:c r="X277" s="36" t="n">
        <x:v>20</x:v>
      </x:c>
      <x:c r="Y277" s="36" t="n">
        <x:v>36.8</x:v>
      </x:c>
      <x:c r="Z277" s="38" t="n">
        <x:v>0.6479</x:v>
      </x:c>
      <x:c r="AA277" s="36" t="n">
        <x:v>22.03</x:v>
      </x:c>
      <x:c r="AB277" s="34" t="n">
        <x:v>5</x:v>
      </x:c>
      <x:c r="AC277" t="str"/>
    </x:row>
    <x:row r="278">
      <x:c r="A278" s="34" t="n">
        <x:v>277</x:v>
      </x:c>
      <x:c r="B278" s="34" t="n">
        <x:v>160</x:v>
      </x:c>
      <x:c r="C278" s="32" t="n">
        <x:v>46119</x:v>
      </x:c>
      <x:c r="D278" t="str">
        <x:v>2026-04</x:v>
      </x:c>
      <x:c r="E278" s="34" t="n">
        <x:v>2</x:v>
      </x:c>
      <x:c r="F278" t="str">
        <x:v>Beatriz Costa</x:v>
      </x:c>
      <x:c r="G278" t="str">
        <x:v>SP</x:v>
      </x:c>
      <x:c r="H278" t="str">
        <x:v>Votuporanga</x:v>
      </x:c>
      <x:c r="I278" s="34" t="n">
        <x:v>24</x:v>
      </x:c>
      <x:c r="J278" t="str">
        <x:v>ENTREGUE</x:v>
      </x:c>
      <x:c r="K278" t="str">
        <x:v>Site</x:v>
      </x:c>
      <x:c r="L278" t="str">
        <x:v>Cartão crédito</x:v>
      </x:c>
      <x:c r="M278" s="34" t="n">
        <x:v>10</x:v>
      </x:c>
      <x:c r="N278" t="str">
        <x:v>SSD 480GB SATA</x:v>
      </x:c>
      <x:c r="O278" t="str">
        <x:v>Armazenamento</x:v>
      </x:c>
      <x:c r="P278" t="str">
        <x:v>Mega Componentes</x:v>
      </x:c>
      <x:c r="Q278" s="34" t="n">
        <x:v>3</x:v>
      </x:c>
      <x:c r="R278" s="36" t="n">
        <x:v>259.9</x:v>
      </x:c>
      <x:c r="S278" s="38" t="n">
        <x:v>0.12</x:v>
      </x:c>
      <x:c r="T278" s="36" t="n">
        <x:v>228.71</x:v>
      </x:c>
      <x:c r="U278" s="36" t="n">
        <x:v>779.7</x:v>
      </x:c>
      <x:c r="V278" s="36" t="n">
        <x:v>93.57</x:v>
      </x:c>
      <x:c r="W278" s="36" t="n">
        <x:v>686.13</x:v>
      </x:c>
      <x:c r="X278" s="36" t="n">
        <x:v>474</x:v>
      </x:c>
      <x:c r="Y278" s="36" t="n">
        <x:v>212.13</x:v>
      </x:c>
      <x:c r="Z278" s="38" t="n">
        <x:v>0.3092</x:v>
      </x:c>
      <x:c r="AA278" s="36" t="n">
        <x:v>22.03</x:v>
      </x:c>
      <x:c r="AB278" s="34" t="n">
        <x:v>5</x:v>
      </x:c>
      <x:c r="AC278" t="str"/>
    </x:row>
    <x:row r="279">
      <x:c r="A279" s="34" t="n">
        <x:v>278</x:v>
      </x:c>
      <x:c r="B279" s="34" t="n">
        <x:v>160</x:v>
      </x:c>
      <x:c r="C279" s="32" t="n">
        <x:v>46119</x:v>
      </x:c>
      <x:c r="D279" t="str">
        <x:v>2026-04</x:v>
      </x:c>
      <x:c r="E279" s="34" t="n">
        <x:v>2</x:v>
      </x:c>
      <x:c r="F279" t="str">
        <x:v>Beatriz Costa</x:v>
      </x:c>
      <x:c r="G279" t="str">
        <x:v>SP</x:v>
      </x:c>
      <x:c r="H279" t="str">
        <x:v>Votuporanga</x:v>
      </x:c>
      <x:c r="I279" s="34" t="n">
        <x:v>24</x:v>
      </x:c>
      <x:c r="J279" t="str">
        <x:v>ENTREGUE</x:v>
      </x:c>
      <x:c r="K279" t="str">
        <x:v>Site</x:v>
      </x:c>
      <x:c r="L279" t="str">
        <x:v>Cartão crédito</x:v>
      </x:c>
      <x:c r="M279" s="34" t="n">
        <x:v>8</x:v>
      </x:c>
      <x:c r="N279" t="str">
        <x:v>Suporte Articulado para Monitor</x:v>
      </x:c>
      <x:c r="O279" t="str">
        <x:v>Acessórios</x:v>
      </x:c>
      <x:c r="P279" t="str">
        <x:v>OfficeTech Supply</x:v>
      </x:c>
      <x:c r="Q279" s="34" t="n">
        <x:v>1</x:v>
      </x:c>
      <x:c r="R279" s="36" t="n">
        <x:v>149.9</x:v>
      </x:c>
      <x:c r="S279" s="38" t="n">
        <x:v>0.05</x:v>
      </x:c>
      <x:c r="T279" s="36" t="n">
        <x:v>142.41</x:v>
      </x:c>
      <x:c r="U279" s="36" t="n">
        <x:v>149.9</x:v>
      </x:c>
      <x:c r="V279" s="36" t="n">
        <x:v>7.49</x:v>
      </x:c>
      <x:c r="W279" s="36" t="n">
        <x:v>142.41</x:v>
      </x:c>
      <x:c r="X279" s="36" t="n">
        <x:v>73</x:v>
      </x:c>
      <x:c r="Y279" s="36" t="n">
        <x:v>69.41</x:v>
      </x:c>
      <x:c r="Z279" s="38" t="n">
        <x:v>0.4874</x:v>
      </x:c>
      <x:c r="AA279" s="36" t="n">
        <x:v>22.03</x:v>
      </x:c>
      <x:c r="AB279" s="34" t="n">
        <x:v>5</x:v>
      </x:c>
      <x:c r="AC279" t="str"/>
    </x:row>
    <x:row r="280">
      <x:c r="A280" s="34" t="n">
        <x:v>279</x:v>
      </x:c>
      <x:c r="B280" s="34" t="n">
        <x:v>161</x:v>
      </x:c>
      <x:c r="C280" s="32" t="n">
        <x:v>46177</x:v>
      </x:c>
      <x:c r="D280" t="str">
        <x:v>2026-06</x:v>
      </x:c>
      <x:c r="E280" s="34" t="n">
        <x:v>53</x:v>
      </x:c>
      <x:c r="F280" t="str">
        <x:v>Carla Almeida</x:v>
      </x:c>
      <x:c r="G280" t="str">
        <x:v>SP</x:v>
      </x:c>
      <x:c r="H280" t="str">
        <x:v>Ribeirão Preto</x:v>
      </x:c>
      <x:c r="I280" s="34" t="n">
        <x:v>54</x:v>
      </x:c>
      <x:c r="J280" t="str">
        <x:v>EM PROCESSAMENTO</x:v>
      </x:c>
      <x:c r="K280" t="str">
        <x:v>Marketplace</x:v>
      </x:c>
      <x:c r="L280" t="str">
        <x:v>Boleto</x:v>
      </x:c>
      <x:c r="M280" s="34" t="n">
        <x:v>18</x:v>
      </x:c>
      <x:c r="N280" t="str">
        <x:v>Cooler para Processador</x:v>
      </x:c>
      <x:c r="O280" t="str">
        <x:v>Componentes</x:v>
      </x:c>
      <x:c r="P280" t="str">
        <x:v>Mega Componentes</x:v>
      </x:c>
      <x:c r="Q280" s="34" t="n">
        <x:v>1</x:v>
      </x:c>
      <x:c r="R280" s="36" t="n">
        <x:v>99.9</x:v>
      </x:c>
      <x:c r="S280" s="38" t="n">
        <x:v>0</x:v>
      </x:c>
      <x:c r="T280" s="36" t="n">
        <x:v>99.9</x:v>
      </x:c>
      <x:c r="U280" s="36" t="n">
        <x:v>99.9</x:v>
      </x:c>
      <x:c r="V280" s="36" t="n">
        <x:v>0</x:v>
      </x:c>
      <x:c r="W280" s="36" t="n">
        <x:v>99.9</x:v>
      </x:c>
      <x:c r="X280" s="36" t="n">
        <x:v>46</x:v>
      </x:c>
      <x:c r="Y280" s="36" t="n">
        <x:v>53.9</x:v>
      </x:c>
      <x:c r="Z280" s="38" t="n">
        <x:v>0.5395</x:v>
      </x:c>
      <x:c r="AA280" s="36" t="n">
        <x:v>59.12</x:v>
      </x:c>
      <x:c r="AB280" s="34"/>
      <x:c r="AC280" t="str"/>
    </x:row>
    <x:row r="281">
      <x:c r="A281" s="34" t="n">
        <x:v>280</x:v>
      </x:c>
      <x:c r="B281" s="34" t="n">
        <x:v>161</x:v>
      </x:c>
      <x:c r="C281" s="32" t="n">
        <x:v>46177</x:v>
      </x:c>
      <x:c r="D281" t="str">
        <x:v>2026-06</x:v>
      </x:c>
      <x:c r="E281" s="34" t="n">
        <x:v>53</x:v>
      </x:c>
      <x:c r="F281" t="str">
        <x:v>Carla Almeida</x:v>
      </x:c>
      <x:c r="G281" t="str">
        <x:v>SP</x:v>
      </x:c>
      <x:c r="H281" t="str">
        <x:v>Ribeirão Preto</x:v>
      </x:c>
      <x:c r="I281" s="34" t="n">
        <x:v>54</x:v>
      </x:c>
      <x:c r="J281" t="str">
        <x:v>EM PROCESSAMENTO</x:v>
      </x:c>
      <x:c r="K281" t="str">
        <x:v>Marketplace</x:v>
      </x:c>
      <x:c r="L281" t="str">
        <x:v>Boleto</x:v>
      </x:c>
      <x:c r="M281" s="34" t="n">
        <x:v>19</x:v>
      </x:c>
      <x:c r="N281" t="str">
        <x:v>Monitor LED 21.5"</x:v>
      </x:c>
      <x:c r="O281" t="str">
        <x:v>Monitores</x:v>
      </x:c>
      <x:c r="P281" t="str">
        <x:v>Brasil Monitores</x:v>
      </x:c>
      <x:c r="Q281" s="34" t="n">
        <x:v>1</x:v>
      </x:c>
      <x:c r="R281" s="36" t="n">
        <x:v>679.9</x:v>
      </x:c>
      <x:c r="S281" s="38" t="n">
        <x:v>0.05</x:v>
      </x:c>
      <x:c r="T281" s="36" t="n">
        <x:v>645.9</x:v>
      </x:c>
      <x:c r="U281" s="36" t="n">
        <x:v>679.9</x:v>
      </x:c>
      <x:c r="V281" s="36" t="n">
        <x:v>34</x:v>
      </x:c>
      <x:c r="W281" s="36" t="n">
        <x:v>645.9</x:v>
      </x:c>
      <x:c r="X281" s="36" t="n">
        <x:v>495</x:v>
      </x:c>
      <x:c r="Y281" s="36" t="n">
        <x:v>150.9</x:v>
      </x:c>
      <x:c r="Z281" s="38" t="n">
        <x:v>0.2336</x:v>
      </x:c>
      <x:c r="AA281" s="36" t="n">
        <x:v>59.12</x:v>
      </x:c>
      <x:c r="AB281" s="34"/>
      <x:c r="AC281" t="str"/>
    </x:row>
    <x:row r="282">
      <x:c r="A282" s="34" t="n">
        <x:v>281</x:v>
      </x:c>
      <x:c r="B282" s="34" t="n">
        <x:v>161</x:v>
      </x:c>
      <x:c r="C282" s="32" t="n">
        <x:v>46177</x:v>
      </x:c>
      <x:c r="D282" t="str">
        <x:v>2026-06</x:v>
      </x:c>
      <x:c r="E282" s="34" t="n">
        <x:v>53</x:v>
      </x:c>
      <x:c r="F282" t="str">
        <x:v>Carla Almeida</x:v>
      </x:c>
      <x:c r="G282" t="str">
        <x:v>SP</x:v>
      </x:c>
      <x:c r="H282" t="str">
        <x:v>Ribeirão Preto</x:v>
      </x:c>
      <x:c r="I282" s="34" t="n">
        <x:v>54</x:v>
      </x:c>
      <x:c r="J282" t="str">
        <x:v>EM PROCESSAMENTO</x:v>
      </x:c>
      <x:c r="K282" t="str">
        <x:v>Marketplace</x:v>
      </x:c>
      <x:c r="L282" t="str">
        <x:v>Boleto</x:v>
      </x:c>
      <x:c r="M282" s="34" t="n">
        <x:v>28</x:v>
      </x:c>
      <x:c r="N282" t="str">
        <x:v>Repetidor Wi-Fi</x:v>
      </x:c>
      <x:c r="O282" t="str">
        <x:v>Rede</x:v>
      </x:c>
      <x:c r="P282" t="str">
        <x:v>Connect Rede</x:v>
      </x:c>
      <x:c r="Q282" s="34" t="n">
        <x:v>1</x:v>
      </x:c>
      <x:c r="R282" s="36" t="n">
        <x:v>139.9</x:v>
      </x:c>
      <x:c r="S282" s="38" t="n">
        <x:v>0.03</x:v>
      </x:c>
      <x:c r="T282" s="36" t="n">
        <x:v>135.7</x:v>
      </x:c>
      <x:c r="U282" s="36" t="n">
        <x:v>139.9</x:v>
      </x:c>
      <x:c r="V282" s="36" t="n">
        <x:v>4.2</x:v>
      </x:c>
      <x:c r="W282" s="36" t="n">
        <x:v>135.7</x:v>
      </x:c>
      <x:c r="X282" s="36" t="n">
        <x:v>69</x:v>
      </x:c>
      <x:c r="Y282" s="36" t="n">
        <x:v>66.7</x:v>
      </x:c>
      <x:c r="Z282" s="38" t="n">
        <x:v>0.4915</x:v>
      </x:c>
      <x:c r="AA282" s="36" t="n">
        <x:v>59.12</x:v>
      </x:c>
      <x:c r="AB282" s="34"/>
      <x:c r="AC282" t="str"/>
    </x:row>
    <x:row r="283">
      <x:c r="A283" s="34" t="n">
        <x:v>282</x:v>
      </x:c>
      <x:c r="B283" s="34" t="n">
        <x:v>162</x:v>
      </x:c>
      <x:c r="C283" s="32" t="n">
        <x:v>46159</x:v>
      </x:c>
      <x:c r="D283" t="str">
        <x:v>2026-05</x:v>
      </x:c>
      <x:c r="E283" s="34" t="n">
        <x:v>23</x:v>
      </x:c>
      <x:c r="F283" t="str">
        <x:v>Matheus Silva</x:v>
      </x:c>
      <x:c r="G283" t="str">
        <x:v>RJ</x:v>
      </x:c>
      <x:c r="H283" t="str">
        <x:v>Rio de Janeiro</x:v>
      </x:c>
      <x:c r="I283" s="34" t="n">
        <x:v>21</x:v>
      </x:c>
      <x:c r="J283" t="str">
        <x:v>ENTREGUE</x:v>
      </x:c>
      <x:c r="K283" t="str">
        <x:v>Site</x:v>
      </x:c>
      <x:c r="L283" t="str">
        <x:v>Cartão crédito</x:v>
      </x:c>
      <x:c r="M283" s="34" t="n">
        <x:v>11</x:v>
      </x:c>
      <x:c r="N283" t="str">
        <x:v>SSD NVMe 500GB</x:v>
      </x:c>
      <x:c r="O283" t="str">
        <x:v>Armazenamento</x:v>
      </x:c>
      <x:c r="P283" t="str">
        <x:v>FastHardware</x:v>
      </x:c>
      <x:c r="Q283" s="34" t="n">
        <x:v>1</x:v>
      </x:c>
      <x:c r="R283" s="36" t="n">
        <x:v>329.9</x:v>
      </x:c>
      <x:c r="S283" s="38" t="n">
        <x:v>0.1</x:v>
      </x:c>
      <x:c r="T283" s="36" t="n">
        <x:v>296.91</x:v>
      </x:c>
      <x:c r="U283" s="36" t="n">
        <x:v>329.9</x:v>
      </x:c>
      <x:c r="V283" s="36" t="n">
        <x:v>32.99</x:v>
      </x:c>
      <x:c r="W283" s="36" t="n">
        <x:v>296.91</x:v>
      </x:c>
      <x:c r="X283" s="36" t="n">
        <x:v>205</x:v>
      </x:c>
      <x:c r="Y283" s="36" t="n">
        <x:v>91.91</x:v>
      </x:c>
      <x:c r="Z283" s="38" t="n">
        <x:v>0.3096</x:v>
      </x:c>
      <x:c r="AA283" s="36" t="n">
        <x:v>33</x:v>
      </x:c>
      <x:c r="AB283" s="34" t="n">
        <x:v>6</x:v>
      </x:c>
      <x:c r="AC283" t="str"/>
    </x:row>
    <x:row r="284">
      <x:c r="A284" s="34" t="n">
        <x:v>283</x:v>
      </x:c>
      <x:c r="B284" s="34" t="n">
        <x:v>162</x:v>
      </x:c>
      <x:c r="C284" s="32" t="n">
        <x:v>46159</x:v>
      </x:c>
      <x:c r="D284" t="str">
        <x:v>2026-05</x:v>
      </x:c>
      <x:c r="E284" s="34" t="n">
        <x:v>23</x:v>
      </x:c>
      <x:c r="F284" t="str">
        <x:v>Matheus Silva</x:v>
      </x:c>
      <x:c r="G284" t="str">
        <x:v>RJ</x:v>
      </x:c>
      <x:c r="H284" t="str">
        <x:v>Rio de Janeiro</x:v>
      </x:c>
      <x:c r="I284" s="34" t="n">
        <x:v>21</x:v>
      </x:c>
      <x:c r="J284" t="str">
        <x:v>ENTREGUE</x:v>
      </x:c>
      <x:c r="K284" t="str">
        <x:v>Site</x:v>
      </x:c>
      <x:c r="L284" t="str">
        <x:v>Cartão crédito</x:v>
      </x:c>
      <x:c r="M284" s="34" t="n">
        <x:v>4</x:v>
      </x:c>
      <x:c r="N284" t="str">
        <x:v>Webcam Full HD</x:v>
      </x:c>
      <x:c r="O284" t="str">
        <x:v>Periféricos</x:v>
      </x:c>
      <x:c r="P284" t="str">
        <x:v>Prime Eletrônicos</x:v>
      </x:c>
      <x:c r="Q284" s="34" t="n">
        <x:v>1</x:v>
      </x:c>
      <x:c r="R284" s="36" t="n">
        <x:v>199.9</x:v>
      </x:c>
      <x:c r="S284" s="38" t="n">
        <x:v>0</x:v>
      </x:c>
      <x:c r="T284" s="36" t="n">
        <x:v>199.9</x:v>
      </x:c>
      <x:c r="U284" s="36" t="n">
        <x:v>199.9</x:v>
      </x:c>
      <x:c r="V284" s="36" t="n">
        <x:v>0</x:v>
      </x:c>
      <x:c r="W284" s="36" t="n">
        <x:v>199.9</x:v>
      </x:c>
      <x:c r="X284" s="36" t="n">
        <x:v>112</x:v>
      </x:c>
      <x:c r="Y284" s="36" t="n">
        <x:v>87.9</x:v>
      </x:c>
      <x:c r="Z284" s="38" t="n">
        <x:v>0.4397</x:v>
      </x:c>
      <x:c r="AA284" s="36" t="n">
        <x:v>33</x:v>
      </x:c>
      <x:c r="AB284" s="34" t="n">
        <x:v>6</x:v>
      </x:c>
      <x:c r="AC284" t="str"/>
    </x:row>
    <x:row r="285">
      <x:c r="A285" s="34" t="n">
        <x:v>284</x:v>
      </x:c>
      <x:c r="B285" s="34" t="n">
        <x:v>162</x:v>
      </x:c>
      <x:c r="C285" s="32" t="n">
        <x:v>46159</x:v>
      </x:c>
      <x:c r="D285" t="str">
        <x:v>2026-05</x:v>
      </x:c>
      <x:c r="E285" s="34" t="n">
        <x:v>23</x:v>
      </x:c>
      <x:c r="F285" t="str">
        <x:v>Matheus Silva</x:v>
      </x:c>
      <x:c r="G285" t="str">
        <x:v>RJ</x:v>
      </x:c>
      <x:c r="H285" t="str">
        <x:v>Rio de Janeiro</x:v>
      </x:c>
      <x:c r="I285" s="34" t="n">
        <x:v>21</x:v>
      </x:c>
      <x:c r="J285" t="str">
        <x:v>ENTREGUE</x:v>
      </x:c>
      <x:c r="K285" t="str">
        <x:v>Site</x:v>
      </x:c>
      <x:c r="L285" t="str">
        <x:v>Cartão crédito</x:v>
      </x:c>
      <x:c r="M285" s="34" t="n">
        <x:v>29</x:v>
      </x:c>
      <x:c r="N285" t="str">
        <x:v>Impressora Multifuncional</x:v>
      </x:c>
      <x:c r="O285" t="str">
        <x:v>Office</x:v>
      </x:c>
      <x:c r="P285" t="str">
        <x:v>OfficeTech Supply</x:v>
      </x:c>
      <x:c r="Q285" s="34" t="n">
        <x:v>2</x:v>
      </x:c>
      <x:c r="R285" s="36" t="n">
        <x:v>699.9</x:v>
      </x:c>
      <x:c r="S285" s="38" t="n">
        <x:v>0.1</x:v>
      </x:c>
      <x:c r="T285" s="36" t="n">
        <x:v>629.91</x:v>
      </x:c>
      <x:c r="U285" s="36" t="n">
        <x:v>1399.8</x:v>
      </x:c>
      <x:c r="V285" s="36" t="n">
        <x:v>139.98</x:v>
      </x:c>
      <x:c r="W285" s="36" t="n">
        <x:v>1259.82</x:v>
      </x:c>
      <x:c r="X285" s="36" t="n">
        <x:v>996</x:v>
      </x:c>
      <x:c r="Y285" s="36" t="n">
        <x:v>263.82</x:v>
      </x:c>
      <x:c r="Z285" s="38" t="n">
        <x:v>0.2094</x:v>
      </x:c>
      <x:c r="AA285" s="36" t="n">
        <x:v>33</x:v>
      </x:c>
      <x:c r="AB285" s="34" t="n">
        <x:v>6</x:v>
      </x:c>
      <x:c r="AC285" t="str"/>
    </x:row>
    <x:row r="286">
      <x:c r="A286" s="34" t="n">
        <x:v>285</x:v>
      </x:c>
      <x:c r="B286" s="34" t="n">
        <x:v>162</x:v>
      </x:c>
      <x:c r="C286" s="32" t="n">
        <x:v>46159</x:v>
      </x:c>
      <x:c r="D286" t="str">
        <x:v>2026-05</x:v>
      </x:c>
      <x:c r="E286" s="34" t="n">
        <x:v>23</x:v>
      </x:c>
      <x:c r="F286" t="str">
        <x:v>Matheus Silva</x:v>
      </x:c>
      <x:c r="G286" t="str">
        <x:v>RJ</x:v>
      </x:c>
      <x:c r="H286" t="str">
        <x:v>Rio de Janeiro</x:v>
      </x:c>
      <x:c r="I286" s="34" t="n">
        <x:v>21</x:v>
      </x:c>
      <x:c r="J286" t="str">
        <x:v>ENTREGUE</x:v>
      </x:c>
      <x:c r="K286" t="str">
        <x:v>Site</x:v>
      </x:c>
      <x:c r="L286" t="str">
        <x:v>Cartão crédito</x:v>
      </x:c>
      <x:c r="M286" s="34" t="n">
        <x:v>27</x:v>
      </x:c>
      <x:c r="N286" t="str">
        <x:v>Placa de Rede PCIe</x:v>
      </x:c>
      <x:c r="O286" t="str">
        <x:v>Rede</x:v>
      </x:c>
      <x:c r="P286" t="str">
        <x:v>Connect Rede</x:v>
      </x:c>
      <x:c r="Q286" s="34" t="n">
        <x:v>2</x:v>
      </x:c>
      <x:c r="R286" s="36" t="n">
        <x:v>79.9</x:v>
      </x:c>
      <x:c r="S286" s="38" t="n">
        <x:v>0</x:v>
      </x:c>
      <x:c r="T286" s="36" t="n">
        <x:v>79.9</x:v>
      </x:c>
      <x:c r="U286" s="36" t="n">
        <x:v>159.8</x:v>
      </x:c>
      <x:c r="V286" s="36" t="n">
        <x:v>0</x:v>
      </x:c>
      <x:c r="W286" s="36" t="n">
        <x:v>159.8</x:v>
      </x:c>
      <x:c r="X286" s="36" t="n">
        <x:v>74</x:v>
      </x:c>
      <x:c r="Y286" s="36" t="n">
        <x:v>85.8</x:v>
      </x:c>
      <x:c r="Z286" s="38" t="n">
        <x:v>0.5369</x:v>
      </x:c>
      <x:c r="AA286" s="36" t="n">
        <x:v>33</x:v>
      </x:c>
      <x:c r="AB286" s="34" t="n">
        <x:v>6</x:v>
      </x:c>
      <x:c r="AC286" t="str"/>
    </x:row>
    <x:row r="287">
      <x:c r="A287" s="34" t="n">
        <x:v>286</x:v>
      </x:c>
      <x:c r="B287" s="34" t="n">
        <x:v>163</x:v>
      </x:c>
      <x:c r="C287" s="32" t="n">
        <x:v>46177</x:v>
      </x:c>
      <x:c r="D287" t="str">
        <x:v>2026-06</x:v>
      </x:c>
      <x:c r="E287" s="34" t="n">
        <x:v>38</x:v>
      </x:c>
      <x:c r="F287" t="str">
        <x:v>Diego Santos</x:v>
      </x:c>
      <x:c r="G287" t="str">
        <x:v>MS</x:v>
      </x:c>
      <x:c r="H287" t="str">
        <x:v>Campo Grande</x:v>
      </x:c>
      <x:c r="I287" s="34" t="n">
        <x:v>52</x:v>
      </x:c>
      <x:c r="J287" t="str">
        <x:v>PENDENTE</x:v>
      </x:c>
      <x:c r="K287" t="str">
        <x:v>Site</x:v>
      </x:c>
      <x:c r="L287" t="str">
        <x:v>Cartão crédito</x:v>
      </x:c>
      <x:c r="M287" s="34" t="n">
        <x:v>3</x:v>
      </x:c>
      <x:c r="N287" t="str">
        <x:v>Headset Gamer P2</x:v>
      </x:c>
      <x:c r="O287" t="str">
        <x:v>Periféricos</x:v>
      </x:c>
      <x:c r="P287" t="str">
        <x:v>FastHardware</x:v>
      </x:c>
      <x:c r="Q287" s="34" t="n">
        <x:v>1</x:v>
      </x:c>
      <x:c r="R287" s="36" t="n">
        <x:v>159.9</x:v>
      </x:c>
      <x:c r="S287" s="38" t="n">
        <x:v>0</x:v>
      </x:c>
      <x:c r="T287" s="36" t="n">
        <x:v>159.9</x:v>
      </x:c>
      <x:c r="U287" s="36" t="n">
        <x:v>159.9</x:v>
      </x:c>
      <x:c r="V287" s="36" t="n">
        <x:v>0</x:v>
      </x:c>
      <x:c r="W287" s="36" t="n">
        <x:v>159.9</x:v>
      </x:c>
      <x:c r="X287" s="36" t="n">
        <x:v>84</x:v>
      </x:c>
      <x:c r="Y287" s="36" t="n">
        <x:v>75.9</x:v>
      </x:c>
      <x:c r="Z287" s="38" t="n">
        <x:v>0.4747</x:v>
      </x:c>
      <x:c r="AA287" s="36" t="n">
        <x:v>26.6</x:v>
      </x:c>
      <x:c r="AB287" s="34"/>
      <x:c r="AC287" t="str"/>
    </x:row>
    <x:row r="288">
      <x:c r="A288" s="34" t="n">
        <x:v>287</x:v>
      </x:c>
      <x:c r="B288" s="34" t="n">
        <x:v>163</x:v>
      </x:c>
      <x:c r="C288" s="32" t="n">
        <x:v>46177</x:v>
      </x:c>
      <x:c r="D288" t="str">
        <x:v>2026-06</x:v>
      </x:c>
      <x:c r="E288" s="34" t="n">
        <x:v>38</x:v>
      </x:c>
      <x:c r="F288" t="str">
        <x:v>Diego Santos</x:v>
      </x:c>
      <x:c r="G288" t="str">
        <x:v>MS</x:v>
      </x:c>
      <x:c r="H288" t="str">
        <x:v>Campo Grande</x:v>
      </x:c>
      <x:c r="I288" s="34" t="n">
        <x:v>52</x:v>
      </x:c>
      <x:c r="J288" t="str">
        <x:v>PENDENTE</x:v>
      </x:c>
      <x:c r="K288" t="str">
        <x:v>Site</x:v>
      </x:c>
      <x:c r="L288" t="str">
        <x:v>Cartão crédito</x:v>
      </x:c>
      <x:c r="M288" s="34" t="n">
        <x:v>2</x:v>
      </x:c>
      <x:c r="N288" t="str">
        <x:v>Teclado Membrana ABNT2</x:v>
      </x:c>
      <x:c r="O288" t="str">
        <x:v>Periféricos</x:v>
      </x:c>
      <x:c r="P288" t="str">
        <x:v>TechDistribuidora Brasil</x:v>
      </x:c>
      <x:c r="Q288" s="34" t="n">
        <x:v>3</x:v>
      </x:c>
      <x:c r="R288" s="36" t="n">
        <x:v>89.9</x:v>
      </x:c>
      <x:c r="S288" s="38" t="n">
        <x:v>0.05</x:v>
      </x:c>
      <x:c r="T288" s="36" t="n">
        <x:v>85.41</x:v>
      </x:c>
      <x:c r="U288" s="36" t="n">
        <x:v>269.7</x:v>
      </x:c>
      <x:c r="V288" s="36" t="n">
        <x:v>13.47</x:v>
      </x:c>
      <x:c r="W288" s="36" t="n">
        <x:v>256.23</x:v>
      </x:c>
      <x:c r="X288" s="36" t="n">
        <x:v>144</x:v>
      </x:c>
      <x:c r="Y288" s="36" t="n">
        <x:v>112.23</x:v>
      </x:c>
      <x:c r="Z288" s="38" t="n">
        <x:v>0.438</x:v>
      </x:c>
      <x:c r="AA288" s="36" t="n">
        <x:v>26.6</x:v>
      </x:c>
      <x:c r="AB288" s="34"/>
      <x:c r="AC288" t="str"/>
    </x:row>
    <x:row r="289">
      <x:c r="A289" s="34" t="n">
        <x:v>288</x:v>
      </x:c>
      <x:c r="B289" s="34" t="n">
        <x:v>164</x:v>
      </x:c>
      <x:c r="C289" s="32" t="n">
        <x:v>46059</x:v>
      </x:c>
      <x:c r="D289" t="str">
        <x:v>2026-02</x:v>
      </x:c>
      <x:c r="E289" s="34" t="n">
        <x:v>41</x:v>
      </x:c>
      <x:c r="F289" t="str">
        <x:v>Thiago Costa</x:v>
      </x:c>
      <x:c r="G289" t="str">
        <x:v>SC</x:v>
      </x:c>
      <x:c r="H289" t="str">
        <x:v>Florianópolis</x:v>
      </x:c>
      <x:c r="I289" s="34" t="n">
        <x:v>60</x:v>
      </x:c>
      <x:c r="J289" t="str">
        <x:v>ENTREGUE</x:v>
      </x:c>
      <x:c r="K289" t="str">
        <x:v>Site</x:v>
      </x:c>
      <x:c r="L289" t="str">
        <x:v>Pix</x:v>
      </x:c>
      <x:c r="M289" s="34" t="n">
        <x:v>14</x:v>
      </x:c>
      <x:c r="N289" t="str">
        <x:v>Memória RAM 16GB DDR4</x:v>
      </x:c>
      <x:c r="O289" t="str">
        <x:v>Componentes</x:v>
      </x:c>
      <x:c r="P289" t="str">
        <x:v>Mega Componentes</x:v>
      </x:c>
      <x:c r="Q289" s="34" t="n">
        <x:v>2</x:v>
      </x:c>
      <x:c r="R289" s="36" t="n">
        <x:v>319.9</x:v>
      </x:c>
      <x:c r="S289" s="38" t="n">
        <x:v>0.1</x:v>
      </x:c>
      <x:c r="T289" s="36" t="n">
        <x:v>287.91</x:v>
      </x:c>
      <x:c r="U289" s="36" t="n">
        <x:v>639.8</x:v>
      </x:c>
      <x:c r="V289" s="36" t="n">
        <x:v>63.98</x:v>
      </x:c>
      <x:c r="W289" s="36" t="n">
        <x:v>575.82</x:v>
      </x:c>
      <x:c r="X289" s="36" t="n">
        <x:v>396</x:v>
      </x:c>
      <x:c r="Y289" s="36" t="n">
        <x:v>179.82</x:v>
      </x:c>
      <x:c r="Z289" s="38" t="n">
        <x:v>0.3123</x:v>
      </x:c>
      <x:c r="AA289" s="36" t="n">
        <x:v>13.62</x:v>
      </x:c>
      <x:c r="AB289" s="34" t="n">
        <x:v>3</x:v>
      </x:c>
      <x:c r="AC289" t="str"/>
    </x:row>
    <x:row r="290">
      <x:c r="A290" s="34" t="n">
        <x:v>289</x:v>
      </x:c>
      <x:c r="B290" s="34" t="n">
        <x:v>164</x:v>
      </x:c>
      <x:c r="C290" s="32" t="n">
        <x:v>46059</x:v>
      </x:c>
      <x:c r="D290" t="str">
        <x:v>2026-02</x:v>
      </x:c>
      <x:c r="E290" s="34" t="n">
        <x:v>41</x:v>
      </x:c>
      <x:c r="F290" t="str">
        <x:v>Thiago Costa</x:v>
      </x:c>
      <x:c r="G290" t="str">
        <x:v>SC</x:v>
      </x:c>
      <x:c r="H290" t="str">
        <x:v>Florianópolis</x:v>
      </x:c>
      <x:c r="I290" s="34" t="n">
        <x:v>60</x:v>
      </x:c>
      <x:c r="J290" t="str">
        <x:v>ENTREGUE</x:v>
      </x:c>
      <x:c r="K290" t="str">
        <x:v>Site</x:v>
      </x:c>
      <x:c r="L290" t="str">
        <x:v>Pix</x:v>
      </x:c>
      <x:c r="M290" s="34" t="n">
        <x:v>3</x:v>
      </x:c>
      <x:c r="N290" t="str">
        <x:v>Headset Gamer P2</x:v>
      </x:c>
      <x:c r="O290" t="str">
        <x:v>Periféricos</x:v>
      </x:c>
      <x:c r="P290" t="str">
        <x:v>FastHardware</x:v>
      </x:c>
      <x:c r="Q290" s="34" t="n">
        <x:v>3</x:v>
      </x:c>
      <x:c r="R290" s="36" t="n">
        <x:v>159.9</x:v>
      </x:c>
      <x:c r="S290" s="38" t="n">
        <x:v>0</x:v>
      </x:c>
      <x:c r="T290" s="36" t="n">
        <x:v>159.9</x:v>
      </x:c>
      <x:c r="U290" s="36" t="n">
        <x:v>479.7</x:v>
      </x:c>
      <x:c r="V290" s="36" t="n">
        <x:v>0</x:v>
      </x:c>
      <x:c r="W290" s="36" t="n">
        <x:v>479.7</x:v>
      </x:c>
      <x:c r="X290" s="36" t="n">
        <x:v>252</x:v>
      </x:c>
      <x:c r="Y290" s="36" t="n">
        <x:v>227.7</x:v>
      </x:c>
      <x:c r="Z290" s="38" t="n">
        <x:v>0.4747</x:v>
      </x:c>
      <x:c r="AA290" s="36" t="n">
        <x:v>13.62</x:v>
      </x:c>
      <x:c r="AB290" s="34" t="n">
        <x:v>3</x:v>
      </x:c>
      <x:c r="AC290" t="str"/>
    </x:row>
    <x:row r="291">
      <x:c r="A291" s="34" t="n">
        <x:v>290</x:v>
      </x:c>
      <x:c r="B291" s="34" t="n">
        <x:v>164</x:v>
      </x:c>
      <x:c r="C291" s="32" t="n">
        <x:v>46059</x:v>
      </x:c>
      <x:c r="D291" t="str">
        <x:v>2026-02</x:v>
      </x:c>
      <x:c r="E291" s="34" t="n">
        <x:v>41</x:v>
      </x:c>
      <x:c r="F291" t="str">
        <x:v>Thiago Costa</x:v>
      </x:c>
      <x:c r="G291" t="str">
        <x:v>SC</x:v>
      </x:c>
      <x:c r="H291" t="str">
        <x:v>Florianópolis</x:v>
      </x:c>
      <x:c r="I291" s="34" t="n">
        <x:v>60</x:v>
      </x:c>
      <x:c r="J291" t="str">
        <x:v>ENTREGUE</x:v>
      </x:c>
      <x:c r="K291" t="str">
        <x:v>Site</x:v>
      </x:c>
      <x:c r="L291" t="str">
        <x:v>Pix</x:v>
      </x:c>
      <x:c r="M291" s="34" t="n">
        <x:v>28</x:v>
      </x:c>
      <x:c r="N291" t="str">
        <x:v>Repetidor Wi-Fi</x:v>
      </x:c>
      <x:c r="O291" t="str">
        <x:v>Rede</x:v>
      </x:c>
      <x:c r="P291" t="str">
        <x:v>Connect Rede</x:v>
      </x:c>
      <x:c r="Q291" s="34" t="n">
        <x:v>3</x:v>
      </x:c>
      <x:c r="R291" s="36" t="n">
        <x:v>139.9</x:v>
      </x:c>
      <x:c r="S291" s="38" t="n">
        <x:v>0.1</x:v>
      </x:c>
      <x:c r="T291" s="36" t="n">
        <x:v>125.91</x:v>
      </x:c>
      <x:c r="U291" s="36" t="n">
        <x:v>419.7</x:v>
      </x:c>
      <x:c r="V291" s="36" t="n">
        <x:v>41.97</x:v>
      </x:c>
      <x:c r="W291" s="36" t="n">
        <x:v>377.73</x:v>
      </x:c>
      <x:c r="X291" s="36" t="n">
        <x:v>207</x:v>
      </x:c>
      <x:c r="Y291" s="36" t="n">
        <x:v>170.73</x:v>
      </x:c>
      <x:c r="Z291" s="38" t="n">
        <x:v>0.452</x:v>
      </x:c>
      <x:c r="AA291" s="36" t="n">
        <x:v>13.62</x:v>
      </x:c>
      <x:c r="AB291" s="34" t="n">
        <x:v>3</x:v>
      </x:c>
      <x:c r="AC291" t="str"/>
    </x:row>
    <x:row r="292">
      <x:c r="A292" s="34" t="n">
        <x:v>291</x:v>
      </x:c>
      <x:c r="B292" s="34" t="n">
        <x:v>164</x:v>
      </x:c>
      <x:c r="C292" s="32" t="n">
        <x:v>46059</x:v>
      </x:c>
      <x:c r="D292" t="str">
        <x:v>2026-02</x:v>
      </x:c>
      <x:c r="E292" s="34" t="n">
        <x:v>41</x:v>
      </x:c>
      <x:c r="F292" t="str">
        <x:v>Thiago Costa</x:v>
      </x:c>
      <x:c r="G292" t="str">
        <x:v>SC</x:v>
      </x:c>
      <x:c r="H292" t="str">
        <x:v>Florianópolis</x:v>
      </x:c>
      <x:c r="I292" s="34" t="n">
        <x:v>60</x:v>
      </x:c>
      <x:c r="J292" t="str">
        <x:v>ENTREGUE</x:v>
      </x:c>
      <x:c r="K292" t="str">
        <x:v>Site</x:v>
      </x:c>
      <x:c r="L292" t="str">
        <x:v>Pix</x:v>
      </x:c>
      <x:c r="M292" s="34" t="n">
        <x:v>16</x:v>
      </x:c>
      <x:c r="N292" t="str">
        <x:v>Placa de Vídeo GTX 1650</x:v>
      </x:c>
      <x:c r="O292" t="str">
        <x:v>Componentes</x:v>
      </x:c>
      <x:c r="P292" t="str">
        <x:v>FastHardware</x:v>
      </x:c>
      <x:c r="Q292" s="34" t="n">
        <x:v>1</x:v>
      </x:c>
      <x:c r="R292" s="36" t="n">
        <x:v>949.9</x:v>
      </x:c>
      <x:c r="S292" s="38" t="n">
        <x:v>0.03</x:v>
      </x:c>
      <x:c r="T292" s="36" t="n">
        <x:v>921.4</x:v>
      </x:c>
      <x:c r="U292" s="36" t="n">
        <x:v>949.9</x:v>
      </x:c>
      <x:c r="V292" s="36" t="n">
        <x:v>28.5</x:v>
      </x:c>
      <x:c r="W292" s="36" t="n">
        <x:v>921.4</x:v>
      </x:c>
      <x:c r="X292" s="36" t="n">
        <x:v>735</x:v>
      </x:c>
      <x:c r="Y292" s="36" t="n">
        <x:v>186.4</x:v>
      </x:c>
      <x:c r="Z292" s="38" t="n">
        <x:v>0.2023</x:v>
      </x:c>
      <x:c r="AA292" s="36" t="n">
        <x:v>13.62</x:v>
      </x:c>
      <x:c r="AB292" s="34" t="n">
        <x:v>3</x:v>
      </x:c>
      <x:c r="AC292" t="str"/>
    </x:row>
    <x:row r="293">
      <x:c r="A293" s="34" t="n">
        <x:v>292</x:v>
      </x:c>
      <x:c r="B293" s="34" t="n">
        <x:v>165</x:v>
      </x:c>
      <x:c r="C293" s="32" t="n">
        <x:v>46163</x:v>
      </x:c>
      <x:c r="D293" t="str">
        <x:v>2026-05</x:v>
      </x:c>
      <x:c r="E293" s="34" t="n">
        <x:v>40</x:v>
      </x:c>
      <x:c r="F293" t="str">
        <x:v>Samuel Araujo</x:v>
      </x:c>
      <x:c r="G293" t="str">
        <x:v>GO</x:v>
      </x:c>
      <x:c r="H293" t="str">
        <x:v>Goiânia</x:v>
      </x:c>
      <x:c r="I293" s="34" t="n">
        <x:v>33</x:v>
      </x:c>
      <x:c r="J293" t="str">
        <x:v>ENTREGUE</x:v>
      </x:c>
      <x:c r="K293" t="str">
        <x:v>Site</x:v>
      </x:c>
      <x:c r="L293" t="str">
        <x:v>Boleto</x:v>
      </x:c>
      <x:c r="M293" s="34" t="n">
        <x:v>11</x:v>
      </x:c>
      <x:c r="N293" t="str">
        <x:v>SSD NVMe 500GB</x:v>
      </x:c>
      <x:c r="O293" t="str">
        <x:v>Armazenamento</x:v>
      </x:c>
      <x:c r="P293" t="str">
        <x:v>FastHardware</x:v>
      </x:c>
      <x:c r="Q293" s="34" t="n">
        <x:v>1</x:v>
      </x:c>
      <x:c r="R293" s="36" t="n">
        <x:v>329.9</x:v>
      </x:c>
      <x:c r="S293" s="38" t="n">
        <x:v>0.08</x:v>
      </x:c>
      <x:c r="T293" s="36" t="n">
        <x:v>303.51</x:v>
      </x:c>
      <x:c r="U293" s="36" t="n">
        <x:v>329.9</x:v>
      </x:c>
      <x:c r="V293" s="36" t="n">
        <x:v>26.39</x:v>
      </x:c>
      <x:c r="W293" s="36" t="n">
        <x:v>303.51</x:v>
      </x:c>
      <x:c r="X293" s="36" t="n">
        <x:v>205</x:v>
      </x:c>
      <x:c r="Y293" s="36" t="n">
        <x:v>98.51</x:v>
      </x:c>
      <x:c r="Z293" s="38" t="n">
        <x:v>0.3246</x:v>
      </x:c>
      <x:c r="AA293" s="36" t="n">
        <x:v>50.6</x:v>
      </x:c>
      <x:c r="AB293" s="34" t="n">
        <x:v>4</x:v>
      </x:c>
      <x:c r="AC293" t="str"/>
    </x:row>
    <x:row r="294">
      <x:c r="A294" s="34" t="n">
        <x:v>293</x:v>
      </x:c>
      <x:c r="B294" s="34" t="n">
        <x:v>166</x:v>
      </x:c>
      <x:c r="C294" s="32" t="n">
        <x:v>46147</x:v>
      </x:c>
      <x:c r="D294" t="str">
        <x:v>2026-05</x:v>
      </x:c>
      <x:c r="E294" s="34" t="n">
        <x:v>46</x:v>
      </x:c>
      <x:c r="F294" t="str">
        <x:v>Bruno Ribeiro</x:v>
      </x:c>
      <x:c r="G294" t="str">
        <x:v>SP</x:v>
      </x:c>
      <x:c r="H294" t="str">
        <x:v>São Paulo</x:v>
      </x:c>
      <x:c r="I294" s="34" t="n">
        <x:v>52</x:v>
      </x:c>
      <x:c r="J294" t="str">
        <x:v>EM PROCESSAMENTO</x:v>
      </x:c>
      <x:c r="K294" t="str">
        <x:v>Instagram</x:v>
      </x:c>
      <x:c r="L294" t="str">
        <x:v>Pix</x:v>
      </x:c>
      <x:c r="M294" s="34" t="n">
        <x:v>18</x:v>
      </x:c>
      <x:c r="N294" t="str">
        <x:v>Cooler para Processador</x:v>
      </x:c>
      <x:c r="O294" t="str">
        <x:v>Componentes</x:v>
      </x:c>
      <x:c r="P294" t="str">
        <x:v>Mega Componentes</x:v>
      </x:c>
      <x:c r="Q294" s="34" t="n">
        <x:v>2</x:v>
      </x:c>
      <x:c r="R294" s="36" t="n">
        <x:v>99.9</x:v>
      </x:c>
      <x:c r="S294" s="38" t="n">
        <x:v>0.05</x:v>
      </x:c>
      <x:c r="T294" s="36" t="n">
        <x:v>94.91</x:v>
      </x:c>
      <x:c r="U294" s="36" t="n">
        <x:v>199.8</x:v>
      </x:c>
      <x:c r="V294" s="36" t="n">
        <x:v>9.98</x:v>
      </x:c>
      <x:c r="W294" s="36" t="n">
        <x:v>189.82</x:v>
      </x:c>
      <x:c r="X294" s="36" t="n">
        <x:v>92</x:v>
      </x:c>
      <x:c r="Y294" s="36" t="n">
        <x:v>97.82</x:v>
      </x:c>
      <x:c r="Z294" s="38" t="n">
        <x:v>0.5153</x:v>
      </x:c>
      <x:c r="AA294" s="36" t="n">
        <x:v>22.42</x:v>
      </x:c>
      <x:c r="AB294" s="34"/>
      <x:c r="AC294" t="str"/>
    </x:row>
    <x:row r="295">
      <x:c r="A295" s="34" t="n">
        <x:v>294</x:v>
      </x:c>
      <x:c r="B295" s="34" t="n">
        <x:v>166</x:v>
      </x:c>
      <x:c r="C295" s="32" t="n">
        <x:v>46147</x:v>
      </x:c>
      <x:c r="D295" t="str">
        <x:v>2026-05</x:v>
      </x:c>
      <x:c r="E295" s="34" t="n">
        <x:v>46</x:v>
      </x:c>
      <x:c r="F295" t="str">
        <x:v>Bruno Ribeiro</x:v>
      </x:c>
      <x:c r="G295" t="str">
        <x:v>SP</x:v>
      </x:c>
      <x:c r="H295" t="str">
        <x:v>São Paulo</x:v>
      </x:c>
      <x:c r="I295" s="34" t="n">
        <x:v>52</x:v>
      </x:c>
      <x:c r="J295" t="str">
        <x:v>EM PROCESSAMENTO</x:v>
      </x:c>
      <x:c r="K295" t="str">
        <x:v>Instagram</x:v>
      </x:c>
      <x:c r="L295" t="str">
        <x:v>Pix</x:v>
      </x:c>
      <x:c r="M295" s="34" t="n">
        <x:v>6</x:v>
      </x:c>
      <x:c r="N295" t="str">
        <x:v>Cabo HDMI 2m</x:v>
      </x:c>
      <x:c r="O295" t="str">
        <x:v>Acessórios</x:v>
      </x:c>
      <x:c r="P295" t="str">
        <x:v>Prime Eletrônicos</x:v>
      </x:c>
      <x:c r="Q295" s="34" t="n">
        <x:v>1</x:v>
      </x:c>
      <x:c r="R295" s="36" t="n">
        <x:v>29.9</x:v>
      </x:c>
      <x:c r="S295" s="38" t="n">
        <x:v>0</x:v>
      </x:c>
      <x:c r="T295" s="36" t="n">
        <x:v>29.9</x:v>
      </x:c>
      <x:c r="U295" s="36" t="n">
        <x:v>29.9</x:v>
      </x:c>
      <x:c r="V295" s="36" t="n">
        <x:v>0</x:v>
      </x:c>
      <x:c r="W295" s="36" t="n">
        <x:v>29.9</x:v>
      </x:c>
      <x:c r="X295" s="36" t="n">
        <x:v>10</x:v>
      </x:c>
      <x:c r="Y295" s="36" t="n">
        <x:v>19.9</x:v>
      </x:c>
      <x:c r="Z295" s="38" t="n">
        <x:v>0.6656</x:v>
      </x:c>
      <x:c r="AA295" s="36" t="n">
        <x:v>22.42</x:v>
      </x:c>
      <x:c r="AB295" s="34"/>
      <x:c r="AC295" t="str"/>
    </x:row>
    <x:row r="296">
      <x:c r="A296" s="34" t="n">
        <x:v>295</x:v>
      </x:c>
      <x:c r="B296" s="34" t="n">
        <x:v>167</x:v>
      </x:c>
      <x:c r="C296" s="32" t="n">
        <x:v>46178</x:v>
      </x:c>
      <x:c r="D296" t="str">
        <x:v>2026-06</x:v>
      </x:c>
      <x:c r="E296" s="34" t="n">
        <x:v>11</x:v>
      </x:c>
      <x:c r="F296" t="str">
        <x:v>Felipe Martins</x:v>
      </x:c>
      <x:c r="G296" t="str">
        <x:v>RJ</x:v>
      </x:c>
      <x:c r="H296" t="str">
        <x:v>Rio de Janeiro</x:v>
      </x:c>
      <x:c r="I296" s="34" t="n">
        <x:v>42</x:v>
      </x:c>
      <x:c r="J296" t="str">
        <x:v>ENVIADO</x:v>
      </x:c>
      <x:c r="K296" t="str">
        <x:v>WhatsApp</x:v>
      </x:c>
      <x:c r="L296" t="str">
        <x:v>Pix</x:v>
      </x:c>
      <x:c r="M296" s="34" t="n">
        <x:v>9</x:v>
      </x:c>
      <x:c r="N296" t="str">
        <x:v>SSD 240GB SATA</x:v>
      </x:c>
      <x:c r="O296" t="str">
        <x:v>Armazenamento</x:v>
      </x:c>
      <x:c r="P296" t="str">
        <x:v>Mega Componentes</x:v>
      </x:c>
      <x:c r="Q296" s="34" t="n">
        <x:v>2</x:v>
      </x:c>
      <x:c r="R296" s="36" t="n">
        <x:v>169.9</x:v>
      </x:c>
      <x:c r="S296" s="38" t="n">
        <x:v>0</x:v>
      </x:c>
      <x:c r="T296" s="36" t="n">
        <x:v>169.9</x:v>
      </x:c>
      <x:c r="U296" s="36" t="n">
        <x:v>339.8</x:v>
      </x:c>
      <x:c r="V296" s="36" t="n">
        <x:v>0</x:v>
      </x:c>
      <x:c r="W296" s="36" t="n">
        <x:v>339.8</x:v>
      </x:c>
      <x:c r="X296" s="36" t="n">
        <x:v>196</x:v>
      </x:c>
      <x:c r="Y296" s="36" t="n">
        <x:v>143.8</x:v>
      </x:c>
      <x:c r="Z296" s="38" t="n">
        <x:v>0.4232</x:v>
      </x:c>
      <x:c r="AA296" s="36" t="n">
        <x:v>29.02</x:v>
      </x:c>
      <x:c r="AB296" s="34" t="n">
        <x:v>1</x:v>
      </x:c>
      <x:c r="AC296" t="str"/>
    </x:row>
    <x:row r="297">
      <x:c r="A297" s="34" t="n">
        <x:v>296</x:v>
      </x:c>
      <x:c r="B297" s="34" t="n">
        <x:v>167</x:v>
      </x:c>
      <x:c r="C297" s="32" t="n">
        <x:v>46178</x:v>
      </x:c>
      <x:c r="D297" t="str">
        <x:v>2026-06</x:v>
      </x:c>
      <x:c r="E297" s="34" t="n">
        <x:v>11</x:v>
      </x:c>
      <x:c r="F297" t="str">
        <x:v>Felipe Martins</x:v>
      </x:c>
      <x:c r="G297" t="str">
        <x:v>RJ</x:v>
      </x:c>
      <x:c r="H297" t="str">
        <x:v>Rio de Janeiro</x:v>
      </x:c>
      <x:c r="I297" s="34" t="n">
        <x:v>42</x:v>
      </x:c>
      <x:c r="J297" t="str">
        <x:v>ENVIADO</x:v>
      </x:c>
      <x:c r="K297" t="str">
        <x:v>WhatsApp</x:v>
      </x:c>
      <x:c r="L297" t="str">
        <x:v>Pix</x:v>
      </x:c>
      <x:c r="M297" s="34" t="n">
        <x:v>6</x:v>
      </x:c>
      <x:c r="N297" t="str">
        <x:v>Cabo HDMI 2m</x:v>
      </x:c>
      <x:c r="O297" t="str">
        <x:v>Acessórios</x:v>
      </x:c>
      <x:c r="P297" t="str">
        <x:v>Prime Eletrônicos</x:v>
      </x:c>
      <x:c r="Q297" s="34" t="n">
        <x:v>1</x:v>
      </x:c>
      <x:c r="R297" s="36" t="n">
        <x:v>29.9</x:v>
      </x:c>
      <x:c r="S297" s="38" t="n">
        <x:v>0.1</x:v>
      </x:c>
      <x:c r="T297" s="36" t="n">
        <x:v>26.91</x:v>
      </x:c>
      <x:c r="U297" s="36" t="n">
        <x:v>29.9</x:v>
      </x:c>
      <x:c r="V297" s="36" t="n">
        <x:v>2.99</x:v>
      </x:c>
      <x:c r="W297" s="36" t="n">
        <x:v>26.91</x:v>
      </x:c>
      <x:c r="X297" s="36" t="n">
        <x:v>10</x:v>
      </x:c>
      <x:c r="Y297" s="36" t="n">
        <x:v>16.91</x:v>
      </x:c>
      <x:c r="Z297" s="38" t="n">
        <x:v>0.6284</x:v>
      </x:c>
      <x:c r="AA297" s="36" t="n">
        <x:v>29.02</x:v>
      </x:c>
      <x:c r="AB297" s="34" t="n">
        <x:v>1</x:v>
      </x:c>
      <x:c r="AC297" t="str"/>
    </x:row>
    <x:row r="298">
      <x:c r="A298" s="34" t="n">
        <x:v>297</x:v>
      </x:c>
      <x:c r="B298" s="34" t="n">
        <x:v>167</x:v>
      </x:c>
      <x:c r="C298" s="32" t="n">
        <x:v>46178</x:v>
      </x:c>
      <x:c r="D298" t="str">
        <x:v>2026-06</x:v>
      </x:c>
      <x:c r="E298" s="34" t="n">
        <x:v>11</x:v>
      </x:c>
      <x:c r="F298" t="str">
        <x:v>Felipe Martins</x:v>
      </x:c>
      <x:c r="G298" t="str">
        <x:v>RJ</x:v>
      </x:c>
      <x:c r="H298" t="str">
        <x:v>Rio de Janeiro</x:v>
      </x:c>
      <x:c r="I298" s="34" t="n">
        <x:v>42</x:v>
      </x:c>
      <x:c r="J298" t="str">
        <x:v>ENVIADO</x:v>
      </x:c>
      <x:c r="K298" t="str">
        <x:v>WhatsApp</x:v>
      </x:c>
      <x:c r="L298" t="str">
        <x:v>Pix</x:v>
      </x:c>
      <x:c r="M298" s="34" t="n">
        <x:v>10</x:v>
      </x:c>
      <x:c r="N298" t="str">
        <x:v>SSD 480GB SATA</x:v>
      </x:c>
      <x:c r="O298" t="str">
        <x:v>Armazenamento</x:v>
      </x:c>
      <x:c r="P298" t="str">
        <x:v>Mega Componentes</x:v>
      </x:c>
      <x:c r="Q298" s="34" t="n">
        <x:v>1</x:v>
      </x:c>
      <x:c r="R298" s="36" t="n">
        <x:v>259.9</x:v>
      </x:c>
      <x:c r="S298" s="38" t="n">
        <x:v>0</x:v>
      </x:c>
      <x:c r="T298" s="36" t="n">
        <x:v>259.9</x:v>
      </x:c>
      <x:c r="U298" s="36" t="n">
        <x:v>259.9</x:v>
      </x:c>
      <x:c r="V298" s="36" t="n">
        <x:v>0</x:v>
      </x:c>
      <x:c r="W298" s="36" t="n">
        <x:v>259.9</x:v>
      </x:c>
      <x:c r="X298" s="36" t="n">
        <x:v>158</x:v>
      </x:c>
      <x:c r="Y298" s="36" t="n">
        <x:v>101.9</x:v>
      </x:c>
      <x:c r="Z298" s="38" t="n">
        <x:v>0.3921</x:v>
      </x:c>
      <x:c r="AA298" s="36" t="n">
        <x:v>29.02</x:v>
      </x:c>
      <x:c r="AB298" s="34" t="n">
        <x:v>1</x:v>
      </x:c>
      <x:c r="AC298" t="str"/>
    </x:row>
    <x:row r="299">
      <x:c r="A299" s="34" t="n">
        <x:v>298</x:v>
      </x:c>
      <x:c r="B299" s="34" t="n">
        <x:v>168</x:v>
      </x:c>
      <x:c r="C299" s="32" t="n">
        <x:v>46106</x:v>
      </x:c>
      <x:c r="D299" t="str">
        <x:v>2026-03</x:v>
      </x:c>
      <x:c r="E299" s="34" t="n">
        <x:v>47</x:v>
      </x:c>
      <x:c r="F299" t="str">
        <x:v>Nicolas Santos</x:v>
      </x:c>
      <x:c r="G299" t="str">
        <x:v>MS</x:v>
      </x:c>
      <x:c r="H299" t="str">
        <x:v>Três Lagoas</x:v>
      </x:c>
      <x:c r="I299" s="34" t="n">
        <x:v>57</x:v>
      </x:c>
      <x:c r="J299" t="str">
        <x:v>ENTREGUE</x:v>
      </x:c>
      <x:c r="K299" t="str">
        <x:v>Site</x:v>
      </x:c>
      <x:c r="L299" t="str">
        <x:v>Cartão crédito</x:v>
      </x:c>
      <x:c r="M299" s="34" t="n">
        <x:v>28</x:v>
      </x:c>
      <x:c r="N299" t="str">
        <x:v>Repetidor Wi-Fi</x:v>
      </x:c>
      <x:c r="O299" t="str">
        <x:v>Rede</x:v>
      </x:c>
      <x:c r="P299" t="str">
        <x:v>Connect Rede</x:v>
      </x:c>
      <x:c r="Q299" s="34" t="n">
        <x:v>1</x:v>
      </x:c>
      <x:c r="R299" s="36" t="n">
        <x:v>139.9</x:v>
      </x:c>
      <x:c r="S299" s="38" t="n">
        <x:v>0.05</x:v>
      </x:c>
      <x:c r="T299" s="36" t="n">
        <x:v>132.91</x:v>
      </x:c>
      <x:c r="U299" s="36" t="n">
        <x:v>139.9</x:v>
      </x:c>
      <x:c r="V299" s="36" t="n">
        <x:v>6.99</x:v>
      </x:c>
      <x:c r="W299" s="36" t="n">
        <x:v>132.91</x:v>
      </x:c>
      <x:c r="X299" s="36" t="n">
        <x:v>69</x:v>
      </x:c>
      <x:c r="Y299" s="36" t="n">
        <x:v>63.91</x:v>
      </x:c>
      <x:c r="Z299" s="38" t="n">
        <x:v>0.4809</x:v>
      </x:c>
      <x:c r="AA299" s="36" t="n">
        <x:v>59.38</x:v>
      </x:c>
      <x:c r="AB299" s="34" t="n">
        <x:v>4</x:v>
      </x:c>
      <x:c r="AC299" t="str"/>
    </x:row>
    <x:row r="300">
      <x:c r="A300" s="34" t="n">
        <x:v>299</x:v>
      </x:c>
      <x:c r="B300" s="34" t="n">
        <x:v>169</x:v>
      </x:c>
      <x:c r="C300" s="32" t="n">
        <x:v>46174</x:v>
      </x:c>
      <x:c r="D300" t="str">
        <x:v>2026-06</x:v>
      </x:c>
      <x:c r="E300" s="34" t="n">
        <x:v>28</x:v>
      </x:c>
      <x:c r="F300" t="str">
        <x:v>Gabriela Silva</x:v>
      </x:c>
      <x:c r="G300" t="str">
        <x:v>MG</x:v>
      </x:c>
      <x:c r="H300" t="str">
        <x:v>Belo Horizonte</x:v>
      </x:c>
      <x:c r="I300" s="34" t="n">
        <x:v>21</x:v>
      </x:c>
      <x:c r="J300" t="str">
        <x:v>ENTREGUE</x:v>
      </x:c>
      <x:c r="K300" t="str">
        <x:v>Site</x:v>
      </x:c>
      <x:c r="L300" t="str">
        <x:v>Cartão crédito</x:v>
      </x:c>
      <x:c r="M300" s="34" t="n">
        <x:v>2</x:v>
      </x:c>
      <x:c r="N300" t="str">
        <x:v>Teclado Membrana ABNT2</x:v>
      </x:c>
      <x:c r="O300" t="str">
        <x:v>Periféricos</x:v>
      </x:c>
      <x:c r="P300" t="str">
        <x:v>TechDistribuidora Brasil</x:v>
      </x:c>
      <x:c r="Q300" s="34" t="n">
        <x:v>1</x:v>
      </x:c>
      <x:c r="R300" s="36" t="n">
        <x:v>89.9</x:v>
      </x:c>
      <x:c r="S300" s="38" t="n">
        <x:v>0</x:v>
      </x:c>
      <x:c r="T300" s="36" t="n">
        <x:v>89.9</x:v>
      </x:c>
      <x:c r="U300" s="36" t="n">
        <x:v>89.9</x:v>
      </x:c>
      <x:c r="V300" s="36" t="n">
        <x:v>0</x:v>
      </x:c>
      <x:c r="W300" s="36" t="n">
        <x:v>89.9</x:v>
      </x:c>
      <x:c r="X300" s="36" t="n">
        <x:v>48</x:v>
      </x:c>
      <x:c r="Y300" s="36" t="n">
        <x:v>41.9</x:v>
      </x:c>
      <x:c r="Z300" s="38" t="n">
        <x:v>0.4661</x:v>
      </x:c>
      <x:c r="AA300" s="36" t="n">
        <x:v>25.22</x:v>
      </x:c>
      <x:c r="AB300" s="34" t="n">
        <x:v>1</x:v>
      </x:c>
      <x:c r="AC300" t="str"/>
    </x:row>
    <x:row r="301">
      <x:c r="A301" s="34" t="n">
        <x:v>300</x:v>
      </x:c>
      <x:c r="B301" s="34" t="n">
        <x:v>170</x:v>
      </x:c>
      <x:c r="C301" s="32" t="n">
        <x:v>46039</x:v>
      </x:c>
      <x:c r="D301" t="str">
        <x:v>2026-01</x:v>
      </x:c>
      <x:c r="E301" s="34" t="n">
        <x:v>4</x:v>
      </x:c>
      <x:c r="F301" t="str">
        <x:v>Letícia Santos</x:v>
      </x:c>
      <x:c r="G301" t="str">
        <x:v>SP</x:v>
      </x:c>
      <x:c r="H301" t="str">
        <x:v>Catanduva</x:v>
      </x:c>
      <x:c r="I301" s="34" t="n">
        <x:v>36</x:v>
      </x:c>
      <x:c r="J301" t="str">
        <x:v>ENVIADO</x:v>
      </x:c>
      <x:c r="K301" t="str">
        <x:v>Site</x:v>
      </x:c>
      <x:c r="L301" t="str">
        <x:v>Cartão débito</x:v>
      </x:c>
      <x:c r="M301" s="34" t="n">
        <x:v>10</x:v>
      </x:c>
      <x:c r="N301" t="str">
        <x:v>SSD 480GB SATA</x:v>
      </x:c>
      <x:c r="O301" t="str">
        <x:v>Armazenamento</x:v>
      </x:c>
      <x:c r="P301" t="str">
        <x:v>Mega Componentes</x:v>
      </x:c>
      <x:c r="Q301" s="34" t="n">
        <x:v>1</x:v>
      </x:c>
      <x:c r="R301" s="36" t="n">
        <x:v>259.9</x:v>
      </x:c>
      <x:c r="S301" s="38" t="n">
        <x:v>0</x:v>
      </x:c>
      <x:c r="T301" s="36" t="n">
        <x:v>259.9</x:v>
      </x:c>
      <x:c r="U301" s="36" t="n">
        <x:v>259.9</x:v>
      </x:c>
      <x:c r="V301" s="36" t="n">
        <x:v>0</x:v>
      </x:c>
      <x:c r="W301" s="36" t="n">
        <x:v>259.9</x:v>
      </x:c>
      <x:c r="X301" s="36" t="n">
        <x:v>158</x:v>
      </x:c>
      <x:c r="Y301" s="36" t="n">
        <x:v>101.9</x:v>
      </x:c>
      <x:c r="Z301" s="38" t="n">
        <x:v>0.3921</x:v>
      </x:c>
      <x:c r="AA301" s="36" t="n">
        <x:v>37.57</x:v>
      </x:c>
      <x:c r="AB301" s="34" t="n">
        <x:v>3</x:v>
      </x:c>
      <x:c r="AC301" t="str"/>
    </x:row>
    <x:row r="302">
      <x:c r="A302" s="34" t="n">
        <x:v>301</x:v>
      </x:c>
      <x:c r="B302" s="34" t="n">
        <x:v>171</x:v>
      </x:c>
      <x:c r="C302" s="32" t="n">
        <x:v>46052</x:v>
      </x:c>
      <x:c r="D302" t="str">
        <x:v>2026-01</x:v>
      </x:c>
      <x:c r="E302" s="34" t="n">
        <x:v>14</x:v>
      </x:c>
      <x:c r="F302" t="str">
        <x:v>Diego Carvalho</x:v>
      </x:c>
      <x:c r="G302" t="str">
        <x:v>MG</x:v>
      </x:c>
      <x:c r="H302" t="str">
        <x:v>Belo Horizonte</x:v>
      </x:c>
      <x:c r="I302" s="34" t="n">
        <x:v>50</x:v>
      </x:c>
      <x:c r="J302" t="str">
        <x:v>EM PROCESSAMENTO</x:v>
      </x:c>
      <x:c r="K302" t="str">
        <x:v>Indicação</x:v>
      </x:c>
      <x:c r="L302" t="str">
        <x:v>Cartão crédito</x:v>
      </x:c>
      <x:c r="M302" s="34" t="n">
        <x:v>5</x:v>
      </x:c>
      <x:c r="N302" t="str">
        <x:v>Mousepad Grande</x:v>
      </x:c>
      <x:c r="O302" t="str">
        <x:v>Acessórios</x:v>
      </x:c>
      <x:c r="P302" t="str">
        <x:v>Prime Eletrônicos</x:v>
      </x:c>
      <x:c r="Q302" s="34" t="n">
        <x:v>2</x:v>
      </x:c>
      <x:c r="R302" s="36" t="n">
        <x:v>39.9</x:v>
      </x:c>
      <x:c r="S302" s="38" t="n">
        <x:v>0</x:v>
      </x:c>
      <x:c r="T302" s="36" t="n">
        <x:v>39.9</x:v>
      </x:c>
      <x:c r="U302" s="36" t="n">
        <x:v>79.8</x:v>
      </x:c>
      <x:c r="V302" s="36" t="n">
        <x:v>0</x:v>
      </x:c>
      <x:c r="W302" s="36" t="n">
        <x:v>79.8</x:v>
      </x:c>
      <x:c r="X302" s="36" t="n">
        <x:v>34</x:v>
      </x:c>
      <x:c r="Y302" s="36" t="n">
        <x:v>45.8</x:v>
      </x:c>
      <x:c r="Z302" s="38" t="n">
        <x:v>0.5739</x:v>
      </x:c>
      <x:c r="AA302" s="36" t="n">
        <x:v>27.31</x:v>
      </x:c>
      <x:c r="AB302" s="34"/>
      <x:c r="AC302" t="str"/>
    </x:row>
    <x:row r="303">
      <x:c r="A303" s="34" t="n">
        <x:v>302</x:v>
      </x:c>
      <x:c r="B303" s="34" t="n">
        <x:v>172</x:v>
      </x:c>
      <x:c r="C303" s="32" t="n">
        <x:v>46177</x:v>
      </x:c>
      <x:c r="D303" t="str">
        <x:v>2026-06</x:v>
      </x:c>
      <x:c r="E303" s="34" t="n">
        <x:v>12</x:v>
      </x:c>
      <x:c r="F303" t="str">
        <x:v>Renan Silva</x:v>
      </x:c>
      <x:c r="G303" t="str">
        <x:v>RJ</x:v>
      </x:c>
      <x:c r="H303" t="str">
        <x:v>Rio de Janeiro</x:v>
      </x:c>
      <x:c r="I303" s="34" t="n">
        <x:v>61</x:v>
      </x:c>
      <x:c r="J303" t="str">
        <x:v>ENTREGUE</x:v>
      </x:c>
      <x:c r="K303" t="str">
        <x:v>Site</x:v>
      </x:c>
      <x:c r="L303" t="str">
        <x:v>Cartão débito</x:v>
      </x:c>
      <x:c r="M303" s="34" t="n">
        <x:v>7</x:v>
      </x:c>
      <x:c r="N303" t="str">
        <x:v>Adaptador USB-C HDMI</x:v>
      </x:c>
      <x:c r="O303" t="str">
        <x:v>Acessórios</x:v>
      </x:c>
      <x:c r="P303" t="str">
        <x:v>Prime Eletrônicos</x:v>
      </x:c>
      <x:c r="Q303" s="34" t="n">
        <x:v>2</x:v>
      </x:c>
      <x:c r="R303" s="36" t="n">
        <x:v>119.9</x:v>
      </x:c>
      <x:c r="S303" s="38" t="n">
        <x:v>0</x:v>
      </x:c>
      <x:c r="T303" s="36" t="n">
        <x:v>119.9</x:v>
      </x:c>
      <x:c r="U303" s="36" t="n">
        <x:v>239.8</x:v>
      </x:c>
      <x:c r="V303" s="36" t="n">
        <x:v>0</x:v>
      </x:c>
      <x:c r="W303" s="36" t="n">
        <x:v>239.8</x:v>
      </x:c>
      <x:c r="X303" s="36" t="n">
        <x:v>116</x:v>
      </x:c>
      <x:c r="Y303" s="36" t="n">
        <x:v>123.8</x:v>
      </x:c>
      <x:c r="Z303" s="38" t="n">
        <x:v>0.5163</x:v>
      </x:c>
      <x:c r="AA303" s="36" t="n">
        <x:v>44.22</x:v>
      </x:c>
      <x:c r="AB303" s="34" t="n">
        <x:v>3</x:v>
      </x:c>
      <x:c r="AC303" t="str"/>
    </x:row>
    <x:row r="304">
      <x:c r="A304" s="34" t="n">
        <x:v>303</x:v>
      </x:c>
      <x:c r="B304" s="34" t="n">
        <x:v>173</x:v>
      </x:c>
      <x:c r="C304" s="32" t="n">
        <x:v>46054</x:v>
      </x:c>
      <x:c r="D304" t="str">
        <x:v>2026-02</x:v>
      </x:c>
      <x:c r="E304" s="34" t="n">
        <x:v>7</x:v>
      </x:c>
      <x:c r="F304" t="str">
        <x:v>Thiago Gomes</x:v>
      </x:c>
      <x:c r="G304" t="str">
        <x:v>RJ</x:v>
      </x:c>
      <x:c r="H304" t="str">
        <x:v>Rio de Janeiro</x:v>
      </x:c>
      <x:c r="I304" s="34" t="n">
        <x:v>61</x:v>
      </x:c>
      <x:c r="J304" t="str">
        <x:v>ENTREGUE</x:v>
      </x:c>
      <x:c r="K304" t="str">
        <x:v>Marketplace</x:v>
      </x:c>
      <x:c r="L304" t="str">
        <x:v>Cartão débito</x:v>
      </x:c>
      <x:c r="M304" s="34" t="n">
        <x:v>6</x:v>
      </x:c>
      <x:c r="N304" t="str">
        <x:v>Cabo HDMI 2m</x:v>
      </x:c>
      <x:c r="O304" t="str">
        <x:v>Acessórios</x:v>
      </x:c>
      <x:c r="P304" t="str">
        <x:v>Prime Eletrônicos</x:v>
      </x:c>
      <x:c r="Q304" s="34" t="n">
        <x:v>3</x:v>
      </x:c>
      <x:c r="R304" s="36" t="n">
        <x:v>29.9</x:v>
      </x:c>
      <x:c r="S304" s="38" t="n">
        <x:v>0</x:v>
      </x:c>
      <x:c r="T304" s="36" t="n">
        <x:v>29.9</x:v>
      </x:c>
      <x:c r="U304" s="36" t="n">
        <x:v>89.7</x:v>
      </x:c>
      <x:c r="V304" s="36" t="n">
        <x:v>0</x:v>
      </x:c>
      <x:c r="W304" s="36" t="n">
        <x:v>89.7</x:v>
      </x:c>
      <x:c r="X304" s="36" t="n">
        <x:v>30</x:v>
      </x:c>
      <x:c r="Y304" s="36" t="n">
        <x:v>59.7</x:v>
      </x:c>
      <x:c r="Z304" s="38" t="n">
        <x:v>0.6656</x:v>
      </x:c>
      <x:c r="AA304" s="36" t="n">
        <x:v>35.76</x:v>
      </x:c>
      <x:c r="AB304" s="34" t="n">
        <x:v>2</x:v>
      </x:c>
      <x:c r="AC304" t="str"/>
    </x:row>
    <x:row r="305">
      <x:c r="A305" s="34" t="n">
        <x:v>304</x:v>
      </x:c>
      <x:c r="B305" s="34" t="n">
        <x:v>174</x:v>
      </x:c>
      <x:c r="C305" s="32" t="n">
        <x:v>46168</x:v>
      </x:c>
      <x:c r="D305" t="str">
        <x:v>2026-05</x:v>
      </x:c>
      <x:c r="E305" s="34" t="n">
        <x:v>56</x:v>
      </x:c>
      <x:c r="F305" t="str">
        <x:v>Olívia Lima</x:v>
      </x:c>
      <x:c r="G305" t="str">
        <x:v>SC</x:v>
      </x:c>
      <x:c r="H305" t="str">
        <x:v>Florianópolis</x:v>
      </x:c>
      <x:c r="I305" s="34" t="n">
        <x:v>53</x:v>
      </x:c>
      <x:c r="J305" t="str">
        <x:v>ENTREGUE</x:v>
      </x:c>
      <x:c r="K305" t="str">
        <x:v>WhatsApp</x:v>
      </x:c>
      <x:c r="L305" t="str">
        <x:v>Boleto</x:v>
      </x:c>
      <x:c r="M305" s="34" t="n">
        <x:v>11</x:v>
      </x:c>
      <x:c r="N305" t="str">
        <x:v>SSD NVMe 500GB</x:v>
      </x:c>
      <x:c r="O305" t="str">
        <x:v>Armazenamento</x:v>
      </x:c>
      <x:c r="P305" t="str">
        <x:v>FastHardware</x:v>
      </x:c>
      <x:c r="Q305" s="34" t="n">
        <x:v>1</x:v>
      </x:c>
      <x:c r="R305" s="36" t="n">
        <x:v>329.9</x:v>
      </x:c>
      <x:c r="S305" s="38" t="n">
        <x:v>0.1</x:v>
      </x:c>
      <x:c r="T305" s="36" t="n">
        <x:v>296.91</x:v>
      </x:c>
      <x:c r="U305" s="36" t="n">
        <x:v>329.9</x:v>
      </x:c>
      <x:c r="V305" s="36" t="n">
        <x:v>32.99</x:v>
      </x:c>
      <x:c r="W305" s="36" t="n">
        <x:v>296.91</x:v>
      </x:c>
      <x:c r="X305" s="36" t="n">
        <x:v>205</x:v>
      </x:c>
      <x:c r="Y305" s="36" t="n">
        <x:v>91.91</x:v>
      </x:c>
      <x:c r="Z305" s="38" t="n">
        <x:v>0.3096</x:v>
      </x:c>
      <x:c r="AA305" s="36" t="n">
        <x:v>23.18</x:v>
      </x:c>
      <x:c r="AB305" s="34" t="n">
        <x:v>2</x:v>
      </x:c>
      <x:c r="AC305" t="str"/>
    </x:row>
    <x:row r="306">
      <x:c r="A306" s="34" t="n">
        <x:v>305</x:v>
      </x:c>
      <x:c r="B306" s="34" t="n">
        <x:v>174</x:v>
      </x:c>
      <x:c r="C306" s="32" t="n">
        <x:v>46168</x:v>
      </x:c>
      <x:c r="D306" t="str">
        <x:v>2026-05</x:v>
      </x:c>
      <x:c r="E306" s="34" t="n">
        <x:v>56</x:v>
      </x:c>
      <x:c r="F306" t="str">
        <x:v>Olívia Lima</x:v>
      </x:c>
      <x:c r="G306" t="str">
        <x:v>SC</x:v>
      </x:c>
      <x:c r="H306" t="str">
        <x:v>Florianópolis</x:v>
      </x:c>
      <x:c r="I306" s="34" t="n">
        <x:v>53</x:v>
      </x:c>
      <x:c r="J306" t="str">
        <x:v>ENTREGUE</x:v>
      </x:c>
      <x:c r="K306" t="str">
        <x:v>WhatsApp</x:v>
      </x:c>
      <x:c r="L306" t="str">
        <x:v>Boleto</x:v>
      </x:c>
      <x:c r="M306" s="34" t="n">
        <x:v>5</x:v>
      </x:c>
      <x:c r="N306" t="str">
        <x:v>Mousepad Grande</x:v>
      </x:c>
      <x:c r="O306" t="str">
        <x:v>Acessórios</x:v>
      </x:c>
      <x:c r="P306" t="str">
        <x:v>Prime Eletrônicos</x:v>
      </x:c>
      <x:c r="Q306" s="34" t="n">
        <x:v>1</x:v>
      </x:c>
      <x:c r="R306" s="36" t="n">
        <x:v>39.9</x:v>
      </x:c>
      <x:c r="S306" s="38" t="n">
        <x:v>0.1</x:v>
      </x:c>
      <x:c r="T306" s="36" t="n">
        <x:v>35.91</x:v>
      </x:c>
      <x:c r="U306" s="36" t="n">
        <x:v>39.9</x:v>
      </x:c>
      <x:c r="V306" s="36" t="n">
        <x:v>3.99</x:v>
      </x:c>
      <x:c r="W306" s="36" t="n">
        <x:v>35.91</x:v>
      </x:c>
      <x:c r="X306" s="36" t="n">
        <x:v>17</x:v>
      </x:c>
      <x:c r="Y306" s="36" t="n">
        <x:v>18.91</x:v>
      </x:c>
      <x:c r="Z306" s="38" t="n">
        <x:v>0.5266</x:v>
      </x:c>
      <x:c r="AA306" s="36" t="n">
        <x:v>23.18</x:v>
      </x:c>
      <x:c r="AB306" s="34" t="n">
        <x:v>2</x:v>
      </x:c>
      <x:c r="AC306" t="str"/>
    </x:row>
    <x:row r="307">
      <x:c r="A307" s="34" t="n">
        <x:v>306</x:v>
      </x:c>
      <x:c r="B307" s="34" t="n">
        <x:v>174</x:v>
      </x:c>
      <x:c r="C307" s="32" t="n">
        <x:v>46168</x:v>
      </x:c>
      <x:c r="D307" t="str">
        <x:v>2026-05</x:v>
      </x:c>
      <x:c r="E307" s="34" t="n">
        <x:v>56</x:v>
      </x:c>
      <x:c r="F307" t="str">
        <x:v>Olívia Lima</x:v>
      </x:c>
      <x:c r="G307" t="str">
        <x:v>SC</x:v>
      </x:c>
      <x:c r="H307" t="str">
        <x:v>Florianópolis</x:v>
      </x:c>
      <x:c r="I307" s="34" t="n">
        <x:v>53</x:v>
      </x:c>
      <x:c r="J307" t="str">
        <x:v>ENTREGUE</x:v>
      </x:c>
      <x:c r="K307" t="str">
        <x:v>WhatsApp</x:v>
      </x:c>
      <x:c r="L307" t="str">
        <x:v>Boleto</x:v>
      </x:c>
      <x:c r="M307" s="34" t="n">
        <x:v>7</x:v>
      </x:c>
      <x:c r="N307" t="str">
        <x:v>Adaptador USB-C HDMI</x:v>
      </x:c>
      <x:c r="O307" t="str">
        <x:v>Acessórios</x:v>
      </x:c>
      <x:c r="P307" t="str">
        <x:v>Prime Eletrônicos</x:v>
      </x:c>
      <x:c r="Q307" s="34" t="n">
        <x:v>1</x:v>
      </x:c>
      <x:c r="R307" s="36" t="n">
        <x:v>119.9</x:v>
      </x:c>
      <x:c r="S307" s="38" t="n">
        <x:v>0</x:v>
      </x:c>
      <x:c r="T307" s="36" t="n">
        <x:v>119.9</x:v>
      </x:c>
      <x:c r="U307" s="36" t="n">
        <x:v>119.9</x:v>
      </x:c>
      <x:c r="V307" s="36" t="n">
        <x:v>0</x:v>
      </x:c>
      <x:c r="W307" s="36" t="n">
        <x:v>119.9</x:v>
      </x:c>
      <x:c r="X307" s="36" t="n">
        <x:v>58</x:v>
      </x:c>
      <x:c r="Y307" s="36" t="n">
        <x:v>61.9</x:v>
      </x:c>
      <x:c r="Z307" s="38" t="n">
        <x:v>0.5163</x:v>
      </x:c>
      <x:c r="AA307" s="36" t="n">
        <x:v>23.18</x:v>
      </x:c>
      <x:c r="AB307" s="34" t="n">
        <x:v>2</x:v>
      </x:c>
      <x:c r="AC307" t="str"/>
    </x:row>
    <x:row r="308">
      <x:c r="A308" s="34" t="n">
        <x:v>307</x:v>
      </x:c>
      <x:c r="B308" s="34" t="n">
        <x:v>175</x:v>
      </x:c>
      <x:c r="C308" s="32" t="n">
        <x:v>46050</x:v>
      </x:c>
      <x:c r="D308" t="str">
        <x:v>2026-01</x:v>
      </x:c>
      <x:c r="E308" s="34" t="n">
        <x:v>3</x:v>
      </x:c>
      <x:c r="F308" t="str">
        <x:v>Matheus Almeida</x:v>
      </x:c>
      <x:c r="G308" t="str">
        <x:v>SP</x:v>
      </x:c>
      <x:c r="H308" t="str">
        <x:v>Votuporanga</x:v>
      </x:c>
      <x:c r="I308" s="34" t="n">
        <x:v>23</x:v>
      </x:c>
      <x:c r="J308" t="str">
        <x:v>ENVIADO</x:v>
      </x:c>
      <x:c r="K308" t="str">
        <x:v>Marketplace</x:v>
      </x:c>
      <x:c r="L308" t="str">
        <x:v>Pix</x:v>
      </x:c>
      <x:c r="M308" s="34" t="n">
        <x:v>29</x:v>
      </x:c>
      <x:c r="N308" t="str">
        <x:v>Impressora Multifuncional</x:v>
      </x:c>
      <x:c r="O308" t="str">
        <x:v>Office</x:v>
      </x:c>
      <x:c r="P308" t="str">
        <x:v>OfficeTech Supply</x:v>
      </x:c>
      <x:c r="Q308" s="34" t="n">
        <x:v>2</x:v>
      </x:c>
      <x:c r="R308" s="36" t="n">
        <x:v>699.9</x:v>
      </x:c>
      <x:c r="S308" s="38" t="n">
        <x:v>0.1</x:v>
      </x:c>
      <x:c r="T308" s="36" t="n">
        <x:v>629.91</x:v>
      </x:c>
      <x:c r="U308" s="36" t="n">
        <x:v>1399.8</x:v>
      </x:c>
      <x:c r="V308" s="36" t="n">
        <x:v>139.98</x:v>
      </x:c>
      <x:c r="W308" s="36" t="n">
        <x:v>1259.82</x:v>
      </x:c>
      <x:c r="X308" s="36" t="n">
        <x:v>996</x:v>
      </x:c>
      <x:c r="Y308" s="36" t="n">
        <x:v>263.82</x:v>
      </x:c>
      <x:c r="Z308" s="38" t="n">
        <x:v>0.2094</x:v>
      </x:c>
      <x:c r="AA308" s="36" t="n">
        <x:v>30.21</x:v>
      </x:c>
      <x:c r="AB308" s="34" t="n">
        <x:v>1</x:v>
      </x:c>
      <x:c r="AC308" t="str"/>
    </x:row>
    <x:row r="309">
      <x:c r="A309" s="34" t="n">
        <x:v>308</x:v>
      </x:c>
      <x:c r="B309" s="34" t="n">
        <x:v>176</x:v>
      </x:c>
      <x:c r="C309" s="32" t="n">
        <x:v>46083</x:v>
      </x:c>
      <x:c r="D309" t="str">
        <x:v>2026-03</x:v>
      </x:c>
      <x:c r="E309" s="34" t="n">
        <x:v>25</x:v>
      </x:c>
      <x:c r="F309" t="str">
        <x:v>Renan Carvalho</x:v>
      </x:c>
      <x:c r="G309" t="str">
        <x:v>MG</x:v>
      </x:c>
      <x:c r="H309" t="str">
        <x:v>Uberaba</x:v>
      </x:c>
      <x:c r="I309" s="34" t="n">
        <x:v>59</x:v>
      </x:c>
      <x:c r="J309" t="str">
        <x:v>EM PROCESSAMENTO</x:v>
      </x:c>
      <x:c r="K309" t="str">
        <x:v>Site</x:v>
      </x:c>
      <x:c r="L309" t="str">
        <x:v>Cartão crédito</x:v>
      </x:c>
      <x:c r="M309" s="34" t="n">
        <x:v>10</x:v>
      </x:c>
      <x:c r="N309" t="str">
        <x:v>SSD 480GB SATA</x:v>
      </x:c>
      <x:c r="O309" t="str">
        <x:v>Armazenamento</x:v>
      </x:c>
      <x:c r="P309" t="str">
        <x:v>Mega Componentes</x:v>
      </x:c>
      <x:c r="Q309" s="34" t="n">
        <x:v>1</x:v>
      </x:c>
      <x:c r="R309" s="36" t="n">
        <x:v>259.9</x:v>
      </x:c>
      <x:c r="S309" s="38" t="n">
        <x:v>0.05</x:v>
      </x:c>
      <x:c r="T309" s="36" t="n">
        <x:v>246.9</x:v>
      </x:c>
      <x:c r="U309" s="36" t="n">
        <x:v>259.9</x:v>
      </x:c>
      <x:c r="V309" s="36" t="n">
        <x:v>13</x:v>
      </x:c>
      <x:c r="W309" s="36" t="n">
        <x:v>246.9</x:v>
      </x:c>
      <x:c r="X309" s="36" t="n">
        <x:v>158</x:v>
      </x:c>
      <x:c r="Y309" s="36" t="n">
        <x:v>88.9</x:v>
      </x:c>
      <x:c r="Z309" s="38" t="n">
        <x:v>0.3601</x:v>
      </x:c>
      <x:c r="AA309" s="36" t="n">
        <x:v>14.33</x:v>
      </x:c>
      <x:c r="AB309" s="34"/>
      <x:c r="AC309" t="str"/>
    </x:row>
    <x:row r="310">
      <x:c r="A310" s="34" t="n">
        <x:v>309</x:v>
      </x:c>
      <x:c r="B310" s="34" t="n">
        <x:v>176</x:v>
      </x:c>
      <x:c r="C310" s="32" t="n">
        <x:v>46083</x:v>
      </x:c>
      <x:c r="D310" t="str">
        <x:v>2026-03</x:v>
      </x:c>
      <x:c r="E310" s="34" t="n">
        <x:v>25</x:v>
      </x:c>
      <x:c r="F310" t="str">
        <x:v>Renan Carvalho</x:v>
      </x:c>
      <x:c r="G310" t="str">
        <x:v>MG</x:v>
      </x:c>
      <x:c r="H310" t="str">
        <x:v>Uberaba</x:v>
      </x:c>
      <x:c r="I310" s="34" t="n">
        <x:v>59</x:v>
      </x:c>
      <x:c r="J310" t="str">
        <x:v>EM PROCESSAMENTO</x:v>
      </x:c>
      <x:c r="K310" t="str">
        <x:v>Site</x:v>
      </x:c>
      <x:c r="L310" t="str">
        <x:v>Cartão crédito</x:v>
      </x:c>
      <x:c r="M310" s="34" t="n">
        <x:v>26</x:v>
      </x:c>
      <x:c r="N310" t="str">
        <x:v>Switch 8 Portas Gigabit</x:v>
      </x:c>
      <x:c r="O310" t="str">
        <x:v>Rede</x:v>
      </x:c>
      <x:c r="P310" t="str">
        <x:v>Connect Rede</x:v>
      </x:c>
      <x:c r="Q310" s="34" t="n">
        <x:v>1</x:v>
      </x:c>
      <x:c r="R310" s="36" t="n">
        <x:v>189.9</x:v>
      </x:c>
      <x:c r="S310" s="38" t="n">
        <x:v>0</x:v>
      </x:c>
      <x:c r="T310" s="36" t="n">
        <x:v>189.9</x:v>
      </x:c>
      <x:c r="U310" s="36" t="n">
        <x:v>189.9</x:v>
      </x:c>
      <x:c r="V310" s="36" t="n">
        <x:v>0</x:v>
      </x:c>
      <x:c r="W310" s="36" t="n">
        <x:v>189.9</x:v>
      </x:c>
      <x:c r="X310" s="36" t="n">
        <x:v>103</x:v>
      </x:c>
      <x:c r="Y310" s="36" t="n">
        <x:v>86.9</x:v>
      </x:c>
      <x:c r="Z310" s="38" t="n">
        <x:v>0.4576</x:v>
      </x:c>
      <x:c r="AA310" s="36" t="n">
        <x:v>14.33</x:v>
      </x:c>
      <x:c r="AB310" s="34"/>
      <x:c r="AC310" t="str"/>
    </x:row>
    <x:row r="311">
      <x:c r="A311" s="34" t="n">
        <x:v>310</x:v>
      </x:c>
      <x:c r="B311" s="34" t="n">
        <x:v>177</x:v>
      </x:c>
      <x:c r="C311" s="32" t="n">
        <x:v>46055</x:v>
      </x:c>
      <x:c r="D311" t="str">
        <x:v>2026-02</x:v>
      </x:c>
      <x:c r="E311" s="34" t="n">
        <x:v>38</x:v>
      </x:c>
      <x:c r="F311" t="str">
        <x:v>Diego Santos</x:v>
      </x:c>
      <x:c r="G311" t="str">
        <x:v>MS</x:v>
      </x:c>
      <x:c r="H311" t="str">
        <x:v>Campo Grande</x:v>
      </x:c>
      <x:c r="I311" s="34" t="n">
        <x:v>52</x:v>
      </x:c>
      <x:c r="J311" t="str">
        <x:v>ENTREGUE</x:v>
      </x:c>
      <x:c r="K311" t="str">
        <x:v>Site</x:v>
      </x:c>
      <x:c r="L311" t="str">
        <x:v>Cartão crédito</x:v>
      </x:c>
      <x:c r="M311" s="34" t="n">
        <x:v>28</x:v>
      </x:c>
      <x:c r="N311" t="str">
        <x:v>Repetidor Wi-Fi</x:v>
      </x:c>
      <x:c r="O311" t="str">
        <x:v>Rede</x:v>
      </x:c>
      <x:c r="P311" t="str">
        <x:v>Connect Rede</x:v>
      </x:c>
      <x:c r="Q311" s="34" t="n">
        <x:v>1</x:v>
      </x:c>
      <x:c r="R311" s="36" t="n">
        <x:v>139.9</x:v>
      </x:c>
      <x:c r="S311" s="38" t="n">
        <x:v>0</x:v>
      </x:c>
      <x:c r="T311" s="36" t="n">
        <x:v>139.9</x:v>
      </x:c>
      <x:c r="U311" s="36" t="n">
        <x:v>139.9</x:v>
      </x:c>
      <x:c r="V311" s="36" t="n">
        <x:v>0</x:v>
      </x:c>
      <x:c r="W311" s="36" t="n">
        <x:v>139.9</x:v>
      </x:c>
      <x:c r="X311" s="36" t="n">
        <x:v>69</x:v>
      </x:c>
      <x:c r="Y311" s="36" t="n">
        <x:v>70.9</x:v>
      </x:c>
      <x:c r="Z311" s="38" t="n">
        <x:v>0.5068</x:v>
      </x:c>
      <x:c r="AA311" s="36" t="n">
        <x:v>20.36</x:v>
      </x:c>
      <x:c r="AB311" s="34" t="n">
        <x:v>4</x:v>
      </x:c>
      <x:c r="AC311" t="str"/>
    </x:row>
    <x:row r="312">
      <x:c r="A312" s="34" t="n">
        <x:v>311</x:v>
      </x:c>
      <x:c r="B312" s="34" t="n">
        <x:v>177</x:v>
      </x:c>
      <x:c r="C312" s="32" t="n">
        <x:v>46055</x:v>
      </x:c>
      <x:c r="D312" t="str">
        <x:v>2026-02</x:v>
      </x:c>
      <x:c r="E312" s="34" t="n">
        <x:v>38</x:v>
      </x:c>
      <x:c r="F312" t="str">
        <x:v>Diego Santos</x:v>
      </x:c>
      <x:c r="G312" t="str">
        <x:v>MS</x:v>
      </x:c>
      <x:c r="H312" t="str">
        <x:v>Campo Grande</x:v>
      </x:c>
      <x:c r="I312" s="34" t="n">
        <x:v>52</x:v>
      </x:c>
      <x:c r="J312" t="str">
        <x:v>ENTREGUE</x:v>
      </x:c>
      <x:c r="K312" t="str">
        <x:v>Site</x:v>
      </x:c>
      <x:c r="L312" t="str">
        <x:v>Cartão crédito</x:v>
      </x:c>
      <x:c r="M312" s="34" t="n">
        <x:v>27</x:v>
      </x:c>
      <x:c r="N312" t="str">
        <x:v>Placa de Rede PCIe</x:v>
      </x:c>
      <x:c r="O312" t="str">
        <x:v>Rede</x:v>
      </x:c>
      <x:c r="P312" t="str">
        <x:v>Connect Rede</x:v>
      </x:c>
      <x:c r="Q312" s="34" t="n">
        <x:v>1</x:v>
      </x:c>
      <x:c r="R312" s="36" t="n">
        <x:v>79.9</x:v>
      </x:c>
      <x:c r="S312" s="38" t="n">
        <x:v>0</x:v>
      </x:c>
      <x:c r="T312" s="36" t="n">
        <x:v>79.9</x:v>
      </x:c>
      <x:c r="U312" s="36" t="n">
        <x:v>79.9</x:v>
      </x:c>
      <x:c r="V312" s="36" t="n">
        <x:v>0</x:v>
      </x:c>
      <x:c r="W312" s="36" t="n">
        <x:v>79.9</x:v>
      </x:c>
      <x:c r="X312" s="36" t="n">
        <x:v>37</x:v>
      </x:c>
      <x:c r="Y312" s="36" t="n">
        <x:v>42.9</x:v>
      </x:c>
      <x:c r="Z312" s="38" t="n">
        <x:v>0.5369</x:v>
      </x:c>
      <x:c r="AA312" s="36" t="n">
        <x:v>20.36</x:v>
      </x:c>
      <x:c r="AB312" s="34" t="n">
        <x:v>4</x:v>
      </x:c>
      <x:c r="AC312" t="str"/>
    </x:row>
    <x:row r="313">
      <x:c r="A313" s="34" t="n">
        <x:v>312</x:v>
      </x:c>
      <x:c r="B313" s="34" t="n">
        <x:v>178</x:v>
      </x:c>
      <x:c r="C313" s="32" t="n">
        <x:v>46131</x:v>
      </x:c>
      <x:c r="D313" t="str">
        <x:v>2026-04</x:v>
      </x:c>
      <x:c r="E313" s="34" t="n">
        <x:v>10</x:v>
      </x:c>
      <x:c r="F313" t="str">
        <x:v>Tatiane Rodrigues</x:v>
      </x:c>
      <x:c r="G313" t="str">
        <x:v>SP</x:v>
      </x:c>
      <x:c r="H313" t="str">
        <x:v>Catanduva</x:v>
      </x:c>
      <x:c r="I313" s="34" t="n">
        <x:v>50</x:v>
      </x:c>
      <x:c r="J313" t="str">
        <x:v>ENTREGUE</x:v>
      </x:c>
      <x:c r="K313" t="str">
        <x:v>Instagram</x:v>
      </x:c>
      <x:c r="L313" t="str">
        <x:v>Pix</x:v>
      </x:c>
      <x:c r="M313" s="34" t="n">
        <x:v>15</x:v>
      </x:c>
      <x:c r="N313" t="str">
        <x:v>Fonte 500W 80 Plus</x:v>
      </x:c>
      <x:c r="O313" t="str">
        <x:v>Componentes</x:v>
      </x:c>
      <x:c r="P313" t="str">
        <x:v>FastHardware</x:v>
      </x:c>
      <x:c r="Q313" s="34" t="n">
        <x:v>1</x:v>
      </x:c>
      <x:c r="R313" s="36" t="n">
        <x:v>289.9</x:v>
      </x:c>
      <x:c r="S313" s="38" t="n">
        <x:v>0</x:v>
      </x:c>
      <x:c r="T313" s="36" t="n">
        <x:v>289.9</x:v>
      </x:c>
      <x:c r="U313" s="36" t="n">
        <x:v>289.9</x:v>
      </x:c>
      <x:c r="V313" s="36" t="n">
        <x:v>0</x:v>
      </x:c>
      <x:c r="W313" s="36" t="n">
        <x:v>289.9</x:v>
      </x:c>
      <x:c r="X313" s="36" t="n">
        <x:v>182</x:v>
      </x:c>
      <x:c r="Y313" s="36" t="n">
        <x:v>107.9</x:v>
      </x:c>
      <x:c r="Z313" s="38" t="n">
        <x:v>0.3722</x:v>
      </x:c>
      <x:c r="AA313" s="36" t="n">
        <x:v>46.06</x:v>
      </x:c>
      <x:c r="AB313" s="34" t="n">
        <x:v>5</x:v>
      </x:c>
      <x:c r="AC313" t="str"/>
    </x:row>
    <x:row r="314">
      <x:c r="A314" s="34" t="n">
        <x:v>313</x:v>
      </x:c>
      <x:c r="B314" s="34" t="n">
        <x:v>178</x:v>
      </x:c>
      <x:c r="C314" s="32" t="n">
        <x:v>46131</x:v>
      </x:c>
      <x:c r="D314" t="str">
        <x:v>2026-04</x:v>
      </x:c>
      <x:c r="E314" s="34" t="n">
        <x:v>10</x:v>
      </x:c>
      <x:c r="F314" t="str">
        <x:v>Tatiane Rodrigues</x:v>
      </x:c>
      <x:c r="G314" t="str">
        <x:v>SP</x:v>
      </x:c>
      <x:c r="H314" t="str">
        <x:v>Catanduva</x:v>
      </x:c>
      <x:c r="I314" s="34" t="n">
        <x:v>50</x:v>
      </x:c>
      <x:c r="J314" t="str">
        <x:v>ENTREGUE</x:v>
      </x:c>
      <x:c r="K314" t="str">
        <x:v>Instagram</x:v>
      </x:c>
      <x:c r="L314" t="str">
        <x:v>Pix</x:v>
      </x:c>
      <x:c r="M314" s="34" t="n">
        <x:v>7</x:v>
      </x:c>
      <x:c r="N314" t="str">
        <x:v>Adaptador USB-C HDMI</x:v>
      </x:c>
      <x:c r="O314" t="str">
        <x:v>Acessórios</x:v>
      </x:c>
      <x:c r="P314" t="str">
        <x:v>Prime Eletrônicos</x:v>
      </x:c>
      <x:c r="Q314" s="34" t="n">
        <x:v>3</x:v>
      </x:c>
      <x:c r="R314" s="36" t="n">
        <x:v>119.9</x:v>
      </x:c>
      <x:c r="S314" s="38" t="n">
        <x:v>0</x:v>
      </x:c>
      <x:c r="T314" s="36" t="n">
        <x:v>119.9</x:v>
      </x:c>
      <x:c r="U314" s="36" t="n">
        <x:v>359.7</x:v>
      </x:c>
      <x:c r="V314" s="36" t="n">
        <x:v>0</x:v>
      </x:c>
      <x:c r="W314" s="36" t="n">
        <x:v>359.7</x:v>
      </x:c>
      <x:c r="X314" s="36" t="n">
        <x:v>174</x:v>
      </x:c>
      <x:c r="Y314" s="36" t="n">
        <x:v>185.7</x:v>
      </x:c>
      <x:c r="Z314" s="38" t="n">
        <x:v>0.5163</x:v>
      </x:c>
      <x:c r="AA314" s="36" t="n">
        <x:v>46.06</x:v>
      </x:c>
      <x:c r="AB314" s="34" t="n">
        <x:v>5</x:v>
      </x:c>
      <x:c r="AC314" t="str"/>
    </x:row>
    <x:row r="315">
      <x:c r="A315" s="34" t="n">
        <x:v>314</x:v>
      </x:c>
      <x:c r="B315" s="34" t="n">
        <x:v>179</x:v>
      </x:c>
      <x:c r="C315" s="32" t="n">
        <x:v>46112</x:v>
      </x:c>
      <x:c r="D315" t="str">
        <x:v>2026-03</x:v>
      </x:c>
      <x:c r="E315" s="34" t="n">
        <x:v>55</x:v>
      </x:c>
      <x:c r="F315" t="str">
        <x:v>Henrique Araujo</x:v>
      </x:c>
      <x:c r="G315" t="str">
        <x:v>GO</x:v>
      </x:c>
      <x:c r="H315" t="str">
        <x:v>Anápolis</x:v>
      </x:c>
      <x:c r="I315" s="34" t="n">
        <x:v>26</x:v>
      </x:c>
      <x:c r="J315" t="str">
        <x:v>ENTREGUE</x:v>
      </x:c>
      <x:c r="K315" t="str">
        <x:v>WhatsApp</x:v>
      </x:c>
      <x:c r="L315" t="str">
        <x:v>Cartão crédito</x:v>
      </x:c>
      <x:c r="M315" s="34" t="n">
        <x:v>2</x:v>
      </x:c>
      <x:c r="N315" t="str">
        <x:v>Teclado Membrana ABNT2</x:v>
      </x:c>
      <x:c r="O315" t="str">
        <x:v>Periféricos</x:v>
      </x:c>
      <x:c r="P315" t="str">
        <x:v>TechDistribuidora Brasil</x:v>
      </x:c>
      <x:c r="Q315" s="34" t="n">
        <x:v>1</x:v>
      </x:c>
      <x:c r="R315" s="36" t="n">
        <x:v>89.9</x:v>
      </x:c>
      <x:c r="S315" s="38" t="n">
        <x:v>0</x:v>
      </x:c>
      <x:c r="T315" s="36" t="n">
        <x:v>89.9</x:v>
      </x:c>
      <x:c r="U315" s="36" t="n">
        <x:v>89.9</x:v>
      </x:c>
      <x:c r="V315" s="36" t="n">
        <x:v>0</x:v>
      </x:c>
      <x:c r="W315" s="36" t="n">
        <x:v>89.9</x:v>
      </x:c>
      <x:c r="X315" s="36" t="n">
        <x:v>48</x:v>
      </x:c>
      <x:c r="Y315" s="36" t="n">
        <x:v>41.9</x:v>
      </x:c>
      <x:c r="Z315" s="38" t="n">
        <x:v>0.4661</x:v>
      </x:c>
      <x:c r="AA315" s="36" t="n">
        <x:v>36.72</x:v>
      </x:c>
      <x:c r="AB315" s="34" t="n">
        <x:v>3</x:v>
      </x:c>
      <x:c r="AC315" t="str"/>
    </x:row>
    <x:row r="316">
      <x:c r="A316" s="34" t="n">
        <x:v>315</x:v>
      </x:c>
      <x:c r="B316" s="34" t="n">
        <x:v>179</x:v>
      </x:c>
      <x:c r="C316" s="32" t="n">
        <x:v>46112</x:v>
      </x:c>
      <x:c r="D316" t="str">
        <x:v>2026-03</x:v>
      </x:c>
      <x:c r="E316" s="34" t="n">
        <x:v>55</x:v>
      </x:c>
      <x:c r="F316" t="str">
        <x:v>Henrique Araujo</x:v>
      </x:c>
      <x:c r="G316" t="str">
        <x:v>GO</x:v>
      </x:c>
      <x:c r="H316" t="str">
        <x:v>Anápolis</x:v>
      </x:c>
      <x:c r="I316" s="34" t="n">
        <x:v>26</x:v>
      </x:c>
      <x:c r="J316" t="str">
        <x:v>ENTREGUE</x:v>
      </x:c>
      <x:c r="K316" t="str">
        <x:v>WhatsApp</x:v>
      </x:c>
      <x:c r="L316" t="str">
        <x:v>Cartão crédito</x:v>
      </x:c>
      <x:c r="M316" s="34" t="n">
        <x:v>26</x:v>
      </x:c>
      <x:c r="N316" t="str">
        <x:v>Switch 8 Portas Gigabit</x:v>
      </x:c>
      <x:c r="O316" t="str">
        <x:v>Rede</x:v>
      </x:c>
      <x:c r="P316" t="str">
        <x:v>Connect Rede</x:v>
      </x:c>
      <x:c r="Q316" s="34" t="n">
        <x:v>1</x:v>
      </x:c>
      <x:c r="R316" s="36" t="n">
        <x:v>189.9</x:v>
      </x:c>
      <x:c r="S316" s="38" t="n">
        <x:v>0.08</x:v>
      </x:c>
      <x:c r="T316" s="36" t="n">
        <x:v>174.71</x:v>
      </x:c>
      <x:c r="U316" s="36" t="n">
        <x:v>189.9</x:v>
      </x:c>
      <x:c r="V316" s="36" t="n">
        <x:v>15.19</x:v>
      </x:c>
      <x:c r="W316" s="36" t="n">
        <x:v>174.71</x:v>
      </x:c>
      <x:c r="X316" s="36" t="n">
        <x:v>103</x:v>
      </x:c>
      <x:c r="Y316" s="36" t="n">
        <x:v>71.71</x:v>
      </x:c>
      <x:c r="Z316" s="38" t="n">
        <x:v>0.4105</x:v>
      </x:c>
      <x:c r="AA316" s="36" t="n">
        <x:v>36.72</x:v>
      </x:c>
      <x:c r="AB316" s="34" t="n">
        <x:v>3</x:v>
      </x:c>
      <x:c r="AC316" t="str"/>
    </x:row>
    <x:row r="317">
      <x:c r="A317" s="34" t="n">
        <x:v>316</x:v>
      </x:c>
      <x:c r="B317" s="34" t="n">
        <x:v>180</x:v>
      </x:c>
      <x:c r="C317" s="32" t="n">
        <x:v>46112</x:v>
      </x:c>
      <x:c r="D317" t="str">
        <x:v>2026-03</x:v>
      </x:c>
      <x:c r="E317" s="34" t="n">
        <x:v>49</x:v>
      </x:c>
      <x:c r="F317" t="str">
        <x:v>Caio Ribeiro</x:v>
      </x:c>
      <x:c r="G317" t="str">
        <x:v>BA</x:v>
      </x:c>
      <x:c r="H317" t="str">
        <x:v>Feira de Santana</x:v>
      </x:c>
      <x:c r="I317" s="34" t="n">
        <x:v>43</x:v>
      </x:c>
      <x:c r="J317" t="str">
        <x:v>ENTREGUE</x:v>
      </x:c>
      <x:c r="K317" t="str">
        <x:v>Instagram</x:v>
      </x:c>
      <x:c r="L317" t="str">
        <x:v>Cartão crédito</x:v>
      </x:c>
      <x:c r="M317" s="34" t="n">
        <x:v>6</x:v>
      </x:c>
      <x:c r="N317" t="str">
        <x:v>Cabo HDMI 2m</x:v>
      </x:c>
      <x:c r="O317" t="str">
        <x:v>Acessórios</x:v>
      </x:c>
      <x:c r="P317" t="str">
        <x:v>Prime Eletrônicos</x:v>
      </x:c>
      <x:c r="Q317" s="34" t="n">
        <x:v>2</x:v>
      </x:c>
      <x:c r="R317" s="36" t="n">
        <x:v>29.9</x:v>
      </x:c>
      <x:c r="S317" s="38" t="n">
        <x:v>0</x:v>
      </x:c>
      <x:c r="T317" s="36" t="n">
        <x:v>29.9</x:v>
      </x:c>
      <x:c r="U317" s="36" t="n">
        <x:v>59.8</x:v>
      </x:c>
      <x:c r="V317" s="36" t="n">
        <x:v>0</x:v>
      </x:c>
      <x:c r="W317" s="36" t="n">
        <x:v>59.8</x:v>
      </x:c>
      <x:c r="X317" s="36" t="n">
        <x:v>20</x:v>
      </x:c>
      <x:c r="Y317" s="36" t="n">
        <x:v>39.8</x:v>
      </x:c>
      <x:c r="Z317" s="38" t="n">
        <x:v>0.6656</x:v>
      </x:c>
      <x:c r="AA317" s="36" t="n">
        <x:v>13.4</x:v>
      </x:c>
      <x:c r="AB317" s="34" t="n">
        <x:v>6</x:v>
      </x:c>
      <x:c r="AC317" t="str"/>
    </x:row>
    <x:row r="318">
      <x:c r="A318" s="34" t="n">
        <x:v>317</x:v>
      </x:c>
      <x:c r="B318" s="34" t="n">
        <x:v>180</x:v>
      </x:c>
      <x:c r="C318" s="32" t="n">
        <x:v>46112</x:v>
      </x:c>
      <x:c r="D318" t="str">
        <x:v>2026-03</x:v>
      </x:c>
      <x:c r="E318" s="34" t="n">
        <x:v>49</x:v>
      </x:c>
      <x:c r="F318" t="str">
        <x:v>Caio Ribeiro</x:v>
      </x:c>
      <x:c r="G318" t="str">
        <x:v>BA</x:v>
      </x:c>
      <x:c r="H318" t="str">
        <x:v>Feira de Santana</x:v>
      </x:c>
      <x:c r="I318" s="34" t="n">
        <x:v>43</x:v>
      </x:c>
      <x:c r="J318" t="str">
        <x:v>ENTREGUE</x:v>
      </x:c>
      <x:c r="K318" t="str">
        <x:v>Instagram</x:v>
      </x:c>
      <x:c r="L318" t="str">
        <x:v>Cartão crédito</x:v>
      </x:c>
      <x:c r="M318" s="34" t="n">
        <x:v>1</x:v>
      </x:c>
      <x:c r="N318" t="str">
        <x:v>Mouse Óptico USB</x:v>
      </x:c>
      <x:c r="O318" t="str">
        <x:v>Periféricos</x:v>
      </x:c>
      <x:c r="P318" t="str">
        <x:v>TechDistribuidora Brasil</x:v>
      </x:c>
      <x:c r="Q318" s="34" t="n">
        <x:v>2</x:v>
      </x:c>
      <x:c r="R318" s="36" t="n">
        <x:v>49.9</x:v>
      </x:c>
      <x:c r="S318" s="38" t="n">
        <x:v>0</x:v>
      </x:c>
      <x:c r="T318" s="36" t="n">
        <x:v>49.9</x:v>
      </x:c>
      <x:c r="U318" s="36" t="n">
        <x:v>99.8</x:v>
      </x:c>
      <x:c r="V318" s="36" t="n">
        <x:v>0</x:v>
      </x:c>
      <x:c r="W318" s="36" t="n">
        <x:v>99.8</x:v>
      </x:c>
      <x:c r="X318" s="36" t="n">
        <x:v>50</x:v>
      </x:c>
      <x:c r="Y318" s="36" t="n">
        <x:v>49.8</x:v>
      </x:c>
      <x:c r="Z318" s="38" t="n">
        <x:v>0.499</x:v>
      </x:c>
      <x:c r="AA318" s="36" t="n">
        <x:v>13.4</x:v>
      </x:c>
      <x:c r="AB318" s="34" t="n">
        <x:v>6</x:v>
      </x:c>
      <x:c r="AC318" t="str"/>
    </x:row>
    <x:row r="319">
      <x:c r="A319" s="34" t="n">
        <x:v>318</x:v>
      </x:c>
      <x:c r="B319" s="34" t="n">
        <x:v>181</x:v>
      </x:c>
      <x:c r="C319" s="32" t="n">
        <x:v>46176</x:v>
      </x:c>
      <x:c r="D319" t="str">
        <x:v>2026-06</x:v>
      </x:c>
      <x:c r="E319" s="34" t="n">
        <x:v>3</x:v>
      </x:c>
      <x:c r="F319" t="str">
        <x:v>Matheus Almeida</x:v>
      </x:c>
      <x:c r="G319" t="str">
        <x:v>SP</x:v>
      </x:c>
      <x:c r="H319" t="str">
        <x:v>Votuporanga</x:v>
      </x:c>
      <x:c r="I319" s="34" t="n">
        <x:v>23</x:v>
      </x:c>
      <x:c r="J319" t="str">
        <x:v>PENDENTE</x:v>
      </x:c>
      <x:c r="K319" t="str">
        <x:v>Site</x:v>
      </x:c>
      <x:c r="L319" t="str">
        <x:v>Cartão crédito</x:v>
      </x:c>
      <x:c r="M319" s="34" t="n">
        <x:v>27</x:v>
      </x:c>
      <x:c r="N319" t="str">
        <x:v>Placa de Rede PCIe</x:v>
      </x:c>
      <x:c r="O319" t="str">
        <x:v>Rede</x:v>
      </x:c>
      <x:c r="P319" t="str">
        <x:v>Connect Rede</x:v>
      </x:c>
      <x:c r="Q319" s="34" t="n">
        <x:v>1</x:v>
      </x:c>
      <x:c r="R319" s="36" t="n">
        <x:v>79.9</x:v>
      </x:c>
      <x:c r="S319" s="38" t="n">
        <x:v>0</x:v>
      </x:c>
      <x:c r="T319" s="36" t="n">
        <x:v>79.9</x:v>
      </x:c>
      <x:c r="U319" s="36" t="n">
        <x:v>79.9</x:v>
      </x:c>
      <x:c r="V319" s="36" t="n">
        <x:v>0</x:v>
      </x:c>
      <x:c r="W319" s="36" t="n">
        <x:v>79.9</x:v>
      </x:c>
      <x:c r="X319" s="36" t="n">
        <x:v>37</x:v>
      </x:c>
      <x:c r="Y319" s="36" t="n">
        <x:v>42.9</x:v>
      </x:c>
      <x:c r="Z319" s="38" t="n">
        <x:v>0.5369</x:v>
      </x:c>
      <x:c r="AA319" s="36" t="n">
        <x:v>38.87</x:v>
      </x:c>
      <x:c r="AB319" s="34"/>
      <x:c r="AC319" t="str"/>
    </x:row>
    <x:row r="320">
      <x:c r="A320" s="34" t="n">
        <x:v>319</x:v>
      </x:c>
      <x:c r="B320" s="34" t="n">
        <x:v>182</x:v>
      </x:c>
      <x:c r="C320" s="32" t="n">
        <x:v>46077</x:v>
      </x:c>
      <x:c r="D320" t="str">
        <x:v>2026-02</x:v>
      </x:c>
      <x:c r="E320" s="34" t="n">
        <x:v>39</x:v>
      </x:c>
      <x:c r="F320" t="str">
        <x:v>Eduarda Silva</x:v>
      </x:c>
      <x:c r="G320" t="str">
        <x:v>SP</x:v>
      </x:c>
      <x:c r="H320" t="str">
        <x:v>São José do Rio Preto</x:v>
      </x:c>
      <x:c r="I320" s="34" t="n">
        <x:v>40</x:v>
      </x:c>
      <x:c r="J320" t="str">
        <x:v>ENTREGUE</x:v>
      </x:c>
      <x:c r="K320" t="str">
        <x:v>WhatsApp</x:v>
      </x:c>
      <x:c r="L320" t="str">
        <x:v>Pix</x:v>
      </x:c>
      <x:c r="M320" s="34" t="n">
        <x:v>28</x:v>
      </x:c>
      <x:c r="N320" t="str">
        <x:v>Repetidor Wi-Fi</x:v>
      </x:c>
      <x:c r="O320" t="str">
        <x:v>Rede</x:v>
      </x:c>
      <x:c r="P320" t="str">
        <x:v>Connect Rede</x:v>
      </x:c>
      <x:c r="Q320" s="34" t="n">
        <x:v>2</x:v>
      </x:c>
      <x:c r="R320" s="36" t="n">
        <x:v>139.9</x:v>
      </x:c>
      <x:c r="S320" s="38" t="n">
        <x:v>0</x:v>
      </x:c>
      <x:c r="T320" s="36" t="n">
        <x:v>139.9</x:v>
      </x:c>
      <x:c r="U320" s="36" t="n">
        <x:v>279.8</x:v>
      </x:c>
      <x:c r="V320" s="36" t="n">
        <x:v>0</x:v>
      </x:c>
      <x:c r="W320" s="36" t="n">
        <x:v>279.8</x:v>
      </x:c>
      <x:c r="X320" s="36" t="n">
        <x:v>138</x:v>
      </x:c>
      <x:c r="Y320" s="36" t="n">
        <x:v>141.8</x:v>
      </x:c>
      <x:c r="Z320" s="38" t="n">
        <x:v>0.5068</x:v>
      </x:c>
      <x:c r="AA320" s="36" t="n">
        <x:v>18.2</x:v>
      </x:c>
      <x:c r="AB320" s="34" t="n">
        <x:v>2</x:v>
      </x:c>
      <x:c r="AC320" t="str"/>
    </x:row>
    <x:row r="321">
      <x:c r="A321" s="34" t="n">
        <x:v>320</x:v>
      </x:c>
      <x:c r="B321" s="34" t="n">
        <x:v>183</x:v>
      </x:c>
      <x:c r="C321" s="32" t="n">
        <x:v>46102</x:v>
      </x:c>
      <x:c r="D321" t="str">
        <x:v>2026-03</x:v>
      </x:c>
      <x:c r="E321" s="34" t="n">
        <x:v>4</x:v>
      </x:c>
      <x:c r="F321" t="str">
        <x:v>Letícia Santos</x:v>
      </x:c>
      <x:c r="G321" t="str">
        <x:v>SP</x:v>
      </x:c>
      <x:c r="H321" t="str">
        <x:v>Catanduva</x:v>
      </x:c>
      <x:c r="I321" s="34" t="n">
        <x:v>36</x:v>
      </x:c>
      <x:c r="J321" t="str">
        <x:v>PENDENTE</x:v>
      </x:c>
      <x:c r="K321" t="str">
        <x:v>Indicação</x:v>
      </x:c>
      <x:c r="L321" t="str">
        <x:v>Cartão crédito</x:v>
      </x:c>
      <x:c r="M321" s="34" t="n">
        <x:v>11</x:v>
      </x:c>
      <x:c r="N321" t="str">
        <x:v>SSD NVMe 500GB</x:v>
      </x:c>
      <x:c r="O321" t="str">
        <x:v>Armazenamento</x:v>
      </x:c>
      <x:c r="P321" t="str">
        <x:v>FastHardware</x:v>
      </x:c>
      <x:c r="Q321" s="34" t="n">
        <x:v>1</x:v>
      </x:c>
      <x:c r="R321" s="36" t="n">
        <x:v>329.9</x:v>
      </x:c>
      <x:c r="S321" s="38" t="n">
        <x:v>0</x:v>
      </x:c>
      <x:c r="T321" s="36" t="n">
        <x:v>329.9</x:v>
      </x:c>
      <x:c r="U321" s="36" t="n">
        <x:v>329.9</x:v>
      </x:c>
      <x:c r="V321" s="36" t="n">
        <x:v>0</x:v>
      </x:c>
      <x:c r="W321" s="36" t="n">
        <x:v>329.9</x:v>
      </x:c>
      <x:c r="X321" s="36" t="n">
        <x:v>205</x:v>
      </x:c>
      <x:c r="Y321" s="36" t="n">
        <x:v>124.9</x:v>
      </x:c>
      <x:c r="Z321" s="38" t="n">
        <x:v>0.3786</x:v>
      </x:c>
      <x:c r="AA321" s="36" t="n">
        <x:v>52.57</x:v>
      </x:c>
      <x:c r="AB321" s="34"/>
      <x:c r="AC321" t="str"/>
    </x:row>
    <x:row r="322">
      <x:c r="A322" s="34" t="n">
        <x:v>321</x:v>
      </x:c>
      <x:c r="B322" s="34" t="n">
        <x:v>184</x:v>
      </x:c>
      <x:c r="C322" s="32" t="n">
        <x:v>46169</x:v>
      </x:c>
      <x:c r="D322" t="str">
        <x:v>2026-05</x:v>
      </x:c>
      <x:c r="E322" s="34" t="n">
        <x:v>2</x:v>
      </x:c>
      <x:c r="F322" t="str">
        <x:v>Beatriz Costa</x:v>
      </x:c>
      <x:c r="G322" t="str">
        <x:v>SP</x:v>
      </x:c>
      <x:c r="H322" t="str">
        <x:v>Votuporanga</x:v>
      </x:c>
      <x:c r="I322" s="34" t="n">
        <x:v>24</x:v>
      </x:c>
      <x:c r="J322" t="str">
        <x:v>ENTREGUE</x:v>
      </x:c>
      <x:c r="K322" t="str">
        <x:v>Site</x:v>
      </x:c>
      <x:c r="L322" t="str">
        <x:v>Cartão crédito</x:v>
      </x:c>
      <x:c r="M322" s="34" t="n">
        <x:v>28</x:v>
      </x:c>
      <x:c r="N322" t="str">
        <x:v>Repetidor Wi-Fi</x:v>
      </x:c>
      <x:c r="O322" t="str">
        <x:v>Rede</x:v>
      </x:c>
      <x:c r="P322" t="str">
        <x:v>Connect Rede</x:v>
      </x:c>
      <x:c r="Q322" s="34" t="n">
        <x:v>2</x:v>
      </x:c>
      <x:c r="R322" s="36" t="n">
        <x:v>139.9</x:v>
      </x:c>
      <x:c r="S322" s="38" t="n">
        <x:v>0</x:v>
      </x:c>
      <x:c r="T322" s="36" t="n">
        <x:v>139.9</x:v>
      </x:c>
      <x:c r="U322" s="36" t="n">
        <x:v>279.8</x:v>
      </x:c>
      <x:c r="V322" s="36" t="n">
        <x:v>0</x:v>
      </x:c>
      <x:c r="W322" s="36" t="n">
        <x:v>279.8</x:v>
      </x:c>
      <x:c r="X322" s="36" t="n">
        <x:v>138</x:v>
      </x:c>
      <x:c r="Y322" s="36" t="n">
        <x:v>141.8</x:v>
      </x:c>
      <x:c r="Z322" s="38" t="n">
        <x:v>0.5068</x:v>
      </x:c>
      <x:c r="AA322" s="36" t="n">
        <x:v>12</x:v>
      </x:c>
      <x:c r="AB322" s="34" t="n">
        <x:v>1</x:v>
      </x:c>
      <x:c r="AC322" t="str"/>
    </x:row>
    <x:row r="323">
      <x:c r="A323" s="34" t="n">
        <x:v>322</x:v>
      </x:c>
      <x:c r="B323" s="34" t="n">
        <x:v>184</x:v>
      </x:c>
      <x:c r="C323" s="32" t="n">
        <x:v>46169</x:v>
      </x:c>
      <x:c r="D323" t="str">
        <x:v>2026-05</x:v>
      </x:c>
      <x:c r="E323" s="34" t="n">
        <x:v>2</x:v>
      </x:c>
      <x:c r="F323" t="str">
        <x:v>Beatriz Costa</x:v>
      </x:c>
      <x:c r="G323" t="str">
        <x:v>SP</x:v>
      </x:c>
      <x:c r="H323" t="str">
        <x:v>Votuporanga</x:v>
      </x:c>
      <x:c r="I323" s="34" t="n">
        <x:v>24</x:v>
      </x:c>
      <x:c r="J323" t="str">
        <x:v>ENTREGUE</x:v>
      </x:c>
      <x:c r="K323" t="str">
        <x:v>Site</x:v>
      </x:c>
      <x:c r="L323" t="str">
        <x:v>Cartão crédito</x:v>
      </x:c>
      <x:c r="M323" s="34" t="n">
        <x:v>15</x:v>
      </x:c>
      <x:c r="N323" t="str">
        <x:v>Fonte 500W 80 Plus</x:v>
      </x:c>
      <x:c r="O323" t="str">
        <x:v>Componentes</x:v>
      </x:c>
      <x:c r="P323" t="str">
        <x:v>FastHardware</x:v>
      </x:c>
      <x:c r="Q323" s="34" t="n">
        <x:v>2</x:v>
      </x:c>
      <x:c r="R323" s="36" t="n">
        <x:v>289.9</x:v>
      </x:c>
      <x:c r="S323" s="38" t="n">
        <x:v>0.08</x:v>
      </x:c>
      <x:c r="T323" s="36" t="n">
        <x:v>266.71</x:v>
      </x:c>
      <x:c r="U323" s="36" t="n">
        <x:v>579.8</x:v>
      </x:c>
      <x:c r="V323" s="36" t="n">
        <x:v>46.38</x:v>
      </x:c>
      <x:c r="W323" s="36" t="n">
        <x:v>533.42</x:v>
      </x:c>
      <x:c r="X323" s="36" t="n">
        <x:v>364</x:v>
      </x:c>
      <x:c r="Y323" s="36" t="n">
        <x:v>169.42</x:v>
      </x:c>
      <x:c r="Z323" s="38" t="n">
        <x:v>0.3176</x:v>
      </x:c>
      <x:c r="AA323" s="36" t="n">
        <x:v>12</x:v>
      </x:c>
      <x:c r="AB323" s="34" t="n">
        <x:v>1</x:v>
      </x:c>
      <x:c r="AC323" t="str"/>
    </x:row>
    <x:row r="324">
      <x:c r="A324" s="34" t="n">
        <x:v>323</x:v>
      </x:c>
      <x:c r="B324" s="34" t="n">
        <x:v>184</x:v>
      </x:c>
      <x:c r="C324" s="32" t="n">
        <x:v>46169</x:v>
      </x:c>
      <x:c r="D324" t="str">
        <x:v>2026-05</x:v>
      </x:c>
      <x:c r="E324" s="34" t="n">
        <x:v>2</x:v>
      </x:c>
      <x:c r="F324" t="str">
        <x:v>Beatriz Costa</x:v>
      </x:c>
      <x:c r="G324" t="str">
        <x:v>SP</x:v>
      </x:c>
      <x:c r="H324" t="str">
        <x:v>Votuporanga</x:v>
      </x:c>
      <x:c r="I324" s="34" t="n">
        <x:v>24</x:v>
      </x:c>
      <x:c r="J324" t="str">
        <x:v>ENTREGUE</x:v>
      </x:c>
      <x:c r="K324" t="str">
        <x:v>Site</x:v>
      </x:c>
      <x:c r="L324" t="str">
        <x:v>Cartão crédito</x:v>
      </x:c>
      <x:c r="M324" s="34" t="n">
        <x:v>8</x:v>
      </x:c>
      <x:c r="N324" t="str">
        <x:v>Suporte Articulado para Monitor</x:v>
      </x:c>
      <x:c r="O324" t="str">
        <x:v>Acessórios</x:v>
      </x:c>
      <x:c r="P324" t="str">
        <x:v>OfficeTech Supply</x:v>
      </x:c>
      <x:c r="Q324" s="34" t="n">
        <x:v>2</x:v>
      </x:c>
      <x:c r="R324" s="36" t="n">
        <x:v>149.9</x:v>
      </x:c>
      <x:c r="S324" s="38" t="n">
        <x:v>0</x:v>
      </x:c>
      <x:c r="T324" s="36" t="n">
        <x:v>149.9</x:v>
      </x:c>
      <x:c r="U324" s="36" t="n">
        <x:v>299.8</x:v>
      </x:c>
      <x:c r="V324" s="36" t="n">
        <x:v>0</x:v>
      </x:c>
      <x:c r="W324" s="36" t="n">
        <x:v>299.8</x:v>
      </x:c>
      <x:c r="X324" s="36" t="n">
        <x:v>146</x:v>
      </x:c>
      <x:c r="Y324" s="36" t="n">
        <x:v>153.8</x:v>
      </x:c>
      <x:c r="Z324" s="38" t="n">
        <x:v>0.513</x:v>
      </x:c>
      <x:c r="AA324" s="36" t="n">
        <x:v>12</x:v>
      </x:c>
      <x:c r="AB324" s="34" t="n">
        <x:v>1</x:v>
      </x:c>
      <x:c r="AC324" t="str"/>
    </x:row>
    <x:row r="325">
      <x:c r="A325" s="34" t="n">
        <x:v>324</x:v>
      </x:c>
      <x:c r="B325" s="34" t="n">
        <x:v>185</x:v>
      </x:c>
      <x:c r="C325" s="32" t="n">
        <x:v>46168</x:v>
      </x:c>
      <x:c r="D325" t="str">
        <x:v>2026-05</x:v>
      </x:c>
      <x:c r="E325" s="34" t="n">
        <x:v>34</x:v>
      </x:c>
      <x:c r="F325" t="str">
        <x:v>Vitor Martins</x:v>
      </x:c>
      <x:c r="G325" t="str">
        <x:v>RJ</x:v>
      </x:c>
      <x:c r="H325" t="str">
        <x:v>Rio de Janeiro</x:v>
      </x:c>
      <x:c r="I325" s="34" t="n">
        <x:v>60</x:v>
      </x:c>
      <x:c r="J325" t="str">
        <x:v>ENTREGUE</x:v>
      </x:c>
      <x:c r="K325" t="str">
        <x:v>WhatsApp</x:v>
      </x:c>
      <x:c r="L325" t="str">
        <x:v>Pix</x:v>
      </x:c>
      <x:c r="M325" s="34" t="n">
        <x:v>7</x:v>
      </x:c>
      <x:c r="N325" t="str">
        <x:v>Adaptador USB-C HDMI</x:v>
      </x:c>
      <x:c r="O325" t="str">
        <x:v>Acessórios</x:v>
      </x:c>
      <x:c r="P325" t="str">
        <x:v>Prime Eletrônicos</x:v>
      </x:c>
      <x:c r="Q325" s="34" t="n">
        <x:v>1</x:v>
      </x:c>
      <x:c r="R325" s="36" t="n">
        <x:v>119.9</x:v>
      </x:c>
      <x:c r="S325" s="38" t="n">
        <x:v>0.12</x:v>
      </x:c>
      <x:c r="T325" s="36" t="n">
        <x:v>105.51</x:v>
      </x:c>
      <x:c r="U325" s="36" t="n">
        <x:v>119.9</x:v>
      </x:c>
      <x:c r="V325" s="36" t="n">
        <x:v>14.39</x:v>
      </x:c>
      <x:c r="W325" s="36" t="n">
        <x:v>105.51</x:v>
      </x:c>
      <x:c r="X325" s="36" t="n">
        <x:v>58</x:v>
      </x:c>
      <x:c r="Y325" s="36" t="n">
        <x:v>47.51</x:v>
      </x:c>
      <x:c r="Z325" s="38" t="n">
        <x:v>0.4503</x:v>
      </x:c>
      <x:c r="AA325" s="36" t="n">
        <x:v>23.52</x:v>
      </x:c>
      <x:c r="AB325" s="34" t="n">
        <x:v>3</x:v>
      </x:c>
      <x:c r="AC325" t="str"/>
    </x:row>
    <x:row r="326">
      <x:c r="A326" s="34" t="n">
        <x:v>325</x:v>
      </x:c>
      <x:c r="B326" s="34" t="n">
        <x:v>185</x:v>
      </x:c>
      <x:c r="C326" s="32" t="n">
        <x:v>46168</x:v>
      </x:c>
      <x:c r="D326" t="str">
        <x:v>2026-05</x:v>
      </x:c>
      <x:c r="E326" s="34" t="n">
        <x:v>34</x:v>
      </x:c>
      <x:c r="F326" t="str">
        <x:v>Vitor Martins</x:v>
      </x:c>
      <x:c r="G326" t="str">
        <x:v>RJ</x:v>
      </x:c>
      <x:c r="H326" t="str">
        <x:v>Rio de Janeiro</x:v>
      </x:c>
      <x:c r="I326" s="34" t="n">
        <x:v>60</x:v>
      </x:c>
      <x:c r="J326" t="str">
        <x:v>ENTREGUE</x:v>
      </x:c>
      <x:c r="K326" t="str">
        <x:v>WhatsApp</x:v>
      </x:c>
      <x:c r="L326" t="str">
        <x:v>Pix</x:v>
      </x:c>
      <x:c r="M326" s="34" t="n">
        <x:v>2</x:v>
      </x:c>
      <x:c r="N326" t="str">
        <x:v>Teclado Membrana ABNT2</x:v>
      </x:c>
      <x:c r="O326" t="str">
        <x:v>Periféricos</x:v>
      </x:c>
      <x:c r="P326" t="str">
        <x:v>TechDistribuidora Brasil</x:v>
      </x:c>
      <x:c r="Q326" s="34" t="n">
        <x:v>1</x:v>
      </x:c>
      <x:c r="R326" s="36" t="n">
        <x:v>89.9</x:v>
      </x:c>
      <x:c r="S326" s="38" t="n">
        <x:v>0.08</x:v>
      </x:c>
      <x:c r="T326" s="36" t="n">
        <x:v>82.71</x:v>
      </x:c>
      <x:c r="U326" s="36" t="n">
        <x:v>89.9</x:v>
      </x:c>
      <x:c r="V326" s="36" t="n">
        <x:v>7.19</x:v>
      </x:c>
      <x:c r="W326" s="36" t="n">
        <x:v>82.71</x:v>
      </x:c>
      <x:c r="X326" s="36" t="n">
        <x:v>48</x:v>
      </x:c>
      <x:c r="Y326" s="36" t="n">
        <x:v>34.71</x:v>
      </x:c>
      <x:c r="Z326" s="38" t="n">
        <x:v>0.4197</x:v>
      </x:c>
      <x:c r="AA326" s="36" t="n">
        <x:v>23.52</x:v>
      </x:c>
      <x:c r="AB326" s="34" t="n">
        <x:v>3</x:v>
      </x:c>
      <x:c r="AC326" t="str"/>
    </x:row>
    <x:row r="327">
      <x:c r="A327" s="34" t="n">
        <x:v>326</x:v>
      </x:c>
      <x:c r="B327" s="34" t="n">
        <x:v>185</x:v>
      </x:c>
      <x:c r="C327" s="32" t="n">
        <x:v>46168</x:v>
      </x:c>
      <x:c r="D327" t="str">
        <x:v>2026-05</x:v>
      </x:c>
      <x:c r="E327" s="34" t="n">
        <x:v>34</x:v>
      </x:c>
      <x:c r="F327" t="str">
        <x:v>Vitor Martins</x:v>
      </x:c>
      <x:c r="G327" t="str">
        <x:v>RJ</x:v>
      </x:c>
      <x:c r="H327" t="str">
        <x:v>Rio de Janeiro</x:v>
      </x:c>
      <x:c r="I327" s="34" t="n">
        <x:v>60</x:v>
      </x:c>
      <x:c r="J327" t="str">
        <x:v>ENTREGUE</x:v>
      </x:c>
      <x:c r="K327" t="str">
        <x:v>WhatsApp</x:v>
      </x:c>
      <x:c r="L327" t="str">
        <x:v>Pix</x:v>
      </x:c>
      <x:c r="M327" s="34" t="n">
        <x:v>9</x:v>
      </x:c>
      <x:c r="N327" t="str">
        <x:v>SSD 240GB SATA</x:v>
      </x:c>
      <x:c r="O327" t="str">
        <x:v>Armazenamento</x:v>
      </x:c>
      <x:c r="P327" t="str">
        <x:v>Mega Componentes</x:v>
      </x:c>
      <x:c r="Q327" s="34" t="n">
        <x:v>1</x:v>
      </x:c>
      <x:c r="R327" s="36" t="n">
        <x:v>169.9</x:v>
      </x:c>
      <x:c r="S327" s="38" t="n">
        <x:v>0.05</x:v>
      </x:c>
      <x:c r="T327" s="36" t="n">
        <x:v>161.41</x:v>
      </x:c>
      <x:c r="U327" s="36" t="n">
        <x:v>169.9</x:v>
      </x:c>
      <x:c r="V327" s="36" t="n">
        <x:v>8.49</x:v>
      </x:c>
      <x:c r="W327" s="36" t="n">
        <x:v>161.41</x:v>
      </x:c>
      <x:c r="X327" s="36" t="n">
        <x:v>98</x:v>
      </x:c>
      <x:c r="Y327" s="36" t="n">
        <x:v>63.41</x:v>
      </x:c>
      <x:c r="Z327" s="38" t="n">
        <x:v>0.3929</x:v>
      </x:c>
      <x:c r="AA327" s="36" t="n">
        <x:v>23.52</x:v>
      </x:c>
      <x:c r="AB327" s="34" t="n">
        <x:v>3</x:v>
      </x:c>
      <x:c r="AC327" t="str"/>
    </x:row>
    <x:row r="328">
      <x:c r="A328" s="34" t="n">
        <x:v>327</x:v>
      </x:c>
      <x:c r="B328" s="34" t="n">
        <x:v>186</x:v>
      </x:c>
      <x:c r="C328" s="32" t="n">
        <x:v>46170</x:v>
      </x:c>
      <x:c r="D328" t="str">
        <x:v>2026-05</x:v>
      </x:c>
      <x:c r="E328" s="34" t="n">
        <x:v>20</x:v>
      </x:c>
      <x:c r="F328" t="str">
        <x:v>Henrique Silva</x:v>
      </x:c>
      <x:c r="G328" t="str">
        <x:v>SP</x:v>
      </x:c>
      <x:c r="H328" t="str">
        <x:v>Ribeirão Preto</x:v>
      </x:c>
      <x:c r="I328" s="34" t="n">
        <x:v>21</x:v>
      </x:c>
      <x:c r="J328" t="str">
        <x:v>ENTREGUE</x:v>
      </x:c>
      <x:c r="K328" t="str">
        <x:v>Site</x:v>
      </x:c>
      <x:c r="L328" t="str">
        <x:v>Cartão crédito</x:v>
      </x:c>
      <x:c r="M328" s="34" t="n">
        <x:v>9</x:v>
      </x:c>
      <x:c r="N328" t="str">
        <x:v>SSD 240GB SATA</x:v>
      </x:c>
      <x:c r="O328" t="str">
        <x:v>Armazenamento</x:v>
      </x:c>
      <x:c r="P328" t="str">
        <x:v>Mega Componentes</x:v>
      </x:c>
      <x:c r="Q328" s="34" t="n">
        <x:v>1</x:v>
      </x:c>
      <x:c r="R328" s="36" t="n">
        <x:v>169.9</x:v>
      </x:c>
      <x:c r="S328" s="38" t="n">
        <x:v>0</x:v>
      </x:c>
      <x:c r="T328" s="36" t="n">
        <x:v>169.9</x:v>
      </x:c>
      <x:c r="U328" s="36" t="n">
        <x:v>169.9</x:v>
      </x:c>
      <x:c r="V328" s="36" t="n">
        <x:v>0</x:v>
      </x:c>
      <x:c r="W328" s="36" t="n">
        <x:v>169.9</x:v>
      </x:c>
      <x:c r="X328" s="36" t="n">
        <x:v>98</x:v>
      </x:c>
      <x:c r="Y328" s="36" t="n">
        <x:v>71.9</x:v>
      </x:c>
      <x:c r="Z328" s="38" t="n">
        <x:v>0.4232</x:v>
      </x:c>
      <x:c r="AA328" s="36" t="n">
        <x:v>46.79</x:v>
      </x:c>
      <x:c r="AB328" s="34" t="n">
        <x:v>2</x:v>
      </x:c>
      <x:c r="AC328" t="str"/>
    </x:row>
    <x:row r="329">
      <x:c r="A329" s="34" t="n">
        <x:v>328</x:v>
      </x:c>
      <x:c r="B329" s="34" t="n">
        <x:v>187</x:v>
      </x:c>
      <x:c r="C329" s="32" t="n">
        <x:v>46178</x:v>
      </x:c>
      <x:c r="D329" t="str">
        <x:v>2026-06</x:v>
      </x:c>
      <x:c r="E329" s="34" t="n">
        <x:v>32</x:v>
      </x:c>
      <x:c r="F329" t="str">
        <x:v>Caio Gomes</x:v>
      </x:c>
      <x:c r="G329" t="str">
        <x:v>SP</x:v>
      </x:c>
      <x:c r="H329" t="str">
        <x:v>Mirassol</x:v>
      </x:c>
      <x:c r="I329" s="34" t="n">
        <x:v>22</x:v>
      </x:c>
      <x:c r="J329" t="str">
        <x:v>PENDENTE</x:v>
      </x:c>
      <x:c r="K329" t="str">
        <x:v>Site</x:v>
      </x:c>
      <x:c r="L329" t="str">
        <x:v>Boleto</x:v>
      </x:c>
      <x:c r="M329" s="34" t="n">
        <x:v>5</x:v>
      </x:c>
      <x:c r="N329" t="str">
        <x:v>Mousepad Grande</x:v>
      </x:c>
      <x:c r="O329" t="str">
        <x:v>Acessórios</x:v>
      </x:c>
      <x:c r="P329" t="str">
        <x:v>Prime Eletrônicos</x:v>
      </x:c>
      <x:c r="Q329" s="34" t="n">
        <x:v>2</x:v>
      </x:c>
      <x:c r="R329" s="36" t="n">
        <x:v>39.9</x:v>
      </x:c>
      <x:c r="S329" s="38" t="n">
        <x:v>0.03</x:v>
      </x:c>
      <x:c r="T329" s="36" t="n">
        <x:v>38.7</x:v>
      </x:c>
      <x:c r="U329" s="36" t="n">
        <x:v>79.8</x:v>
      </x:c>
      <x:c r="V329" s="36" t="n">
        <x:v>2.4</x:v>
      </x:c>
      <x:c r="W329" s="36" t="n">
        <x:v>77.4</x:v>
      </x:c>
      <x:c r="X329" s="36" t="n">
        <x:v>34</x:v>
      </x:c>
      <x:c r="Y329" s="36" t="n">
        <x:v>43.4</x:v>
      </x:c>
      <x:c r="Z329" s="38" t="n">
        <x:v>0.5607</x:v>
      </x:c>
      <x:c r="AA329" s="36" t="n">
        <x:v>12</x:v>
      </x:c>
      <x:c r="AB329" s="34"/>
      <x:c r="AC329" t="str"/>
    </x:row>
    <x:row r="330">
      <x:c r="A330" s="34" t="n">
        <x:v>329</x:v>
      </x:c>
      <x:c r="B330" s="34" t="n">
        <x:v>187</x:v>
      </x:c>
      <x:c r="C330" s="32" t="n">
        <x:v>46178</x:v>
      </x:c>
      <x:c r="D330" t="str">
        <x:v>2026-06</x:v>
      </x:c>
      <x:c r="E330" s="34" t="n">
        <x:v>32</x:v>
      </x:c>
      <x:c r="F330" t="str">
        <x:v>Caio Gomes</x:v>
      </x:c>
      <x:c r="G330" t="str">
        <x:v>SP</x:v>
      </x:c>
      <x:c r="H330" t="str">
        <x:v>Mirassol</x:v>
      </x:c>
      <x:c r="I330" s="34" t="n">
        <x:v>22</x:v>
      </x:c>
      <x:c r="J330" t="str">
        <x:v>PENDENTE</x:v>
      </x:c>
      <x:c r="K330" t="str">
        <x:v>Site</x:v>
      </x:c>
      <x:c r="L330" t="str">
        <x:v>Boleto</x:v>
      </x:c>
      <x:c r="M330" s="34" t="n">
        <x:v>7</x:v>
      </x:c>
      <x:c r="N330" t="str">
        <x:v>Adaptador USB-C HDMI</x:v>
      </x:c>
      <x:c r="O330" t="str">
        <x:v>Acessórios</x:v>
      </x:c>
      <x:c r="P330" t="str">
        <x:v>Prime Eletrônicos</x:v>
      </x:c>
      <x:c r="Q330" s="34" t="n">
        <x:v>3</x:v>
      </x:c>
      <x:c r="R330" s="36" t="n">
        <x:v>119.9</x:v>
      </x:c>
      <x:c r="S330" s="38" t="n">
        <x:v>0.08</x:v>
      </x:c>
      <x:c r="T330" s="36" t="n">
        <x:v>110.31</x:v>
      </x:c>
      <x:c r="U330" s="36" t="n">
        <x:v>359.7</x:v>
      </x:c>
      <x:c r="V330" s="36" t="n">
        <x:v>28.77</x:v>
      </x:c>
      <x:c r="W330" s="36" t="n">
        <x:v>330.93</x:v>
      </x:c>
      <x:c r="X330" s="36" t="n">
        <x:v>174</x:v>
      </x:c>
      <x:c r="Y330" s="36" t="n">
        <x:v>156.93</x:v>
      </x:c>
      <x:c r="Z330" s="38" t="n">
        <x:v>0.4742</x:v>
      </x:c>
      <x:c r="AA330" s="36" t="n">
        <x:v>12</x:v>
      </x:c>
      <x:c r="AB330" s="34"/>
      <x:c r="AC330" t="str"/>
    </x:row>
    <x:row r="331">
      <x:c r="A331" s="34" t="n">
        <x:v>330</x:v>
      </x:c>
      <x:c r="B331" s="34" t="n">
        <x:v>187</x:v>
      </x:c>
      <x:c r="C331" s="32" t="n">
        <x:v>46178</x:v>
      </x:c>
      <x:c r="D331" t="str">
        <x:v>2026-06</x:v>
      </x:c>
      <x:c r="E331" s="34" t="n">
        <x:v>32</x:v>
      </x:c>
      <x:c r="F331" t="str">
        <x:v>Caio Gomes</x:v>
      </x:c>
      <x:c r="G331" t="str">
        <x:v>SP</x:v>
      </x:c>
      <x:c r="H331" t="str">
        <x:v>Mirassol</x:v>
      </x:c>
      <x:c r="I331" s="34" t="n">
        <x:v>22</x:v>
      </x:c>
      <x:c r="J331" t="str">
        <x:v>PENDENTE</x:v>
      </x:c>
      <x:c r="K331" t="str">
        <x:v>Site</x:v>
      </x:c>
      <x:c r="L331" t="str">
        <x:v>Boleto</x:v>
      </x:c>
      <x:c r="M331" s="34" t="n">
        <x:v>1</x:v>
      </x:c>
      <x:c r="N331" t="str">
        <x:v>Mouse Óptico USB</x:v>
      </x:c>
      <x:c r="O331" t="str">
        <x:v>Periféricos</x:v>
      </x:c>
      <x:c r="P331" t="str">
        <x:v>TechDistribuidora Brasil</x:v>
      </x:c>
      <x:c r="Q331" s="34" t="n">
        <x:v>2</x:v>
      </x:c>
      <x:c r="R331" s="36" t="n">
        <x:v>49.9</x:v>
      </x:c>
      <x:c r="S331" s="38" t="n">
        <x:v>0</x:v>
      </x:c>
      <x:c r="T331" s="36" t="n">
        <x:v>49.9</x:v>
      </x:c>
      <x:c r="U331" s="36" t="n">
        <x:v>99.8</x:v>
      </x:c>
      <x:c r="V331" s="36" t="n">
        <x:v>0</x:v>
      </x:c>
      <x:c r="W331" s="36" t="n">
        <x:v>99.8</x:v>
      </x:c>
      <x:c r="X331" s="36" t="n">
        <x:v>50</x:v>
      </x:c>
      <x:c r="Y331" s="36" t="n">
        <x:v>49.8</x:v>
      </x:c>
      <x:c r="Z331" s="38" t="n">
        <x:v>0.499</x:v>
      </x:c>
      <x:c r="AA331" s="36" t="n">
        <x:v>12</x:v>
      </x:c>
      <x:c r="AB331" s="34"/>
      <x:c r="AC331" t="str"/>
    </x:row>
    <x:row r="332">
      <x:c r="A332" s="34" t="n">
        <x:v>331</x:v>
      </x:c>
      <x:c r="B332" s="34" t="n">
        <x:v>187</x:v>
      </x:c>
      <x:c r="C332" s="32" t="n">
        <x:v>46178</x:v>
      </x:c>
      <x:c r="D332" t="str">
        <x:v>2026-06</x:v>
      </x:c>
      <x:c r="E332" s="34" t="n">
        <x:v>32</x:v>
      </x:c>
      <x:c r="F332" t="str">
        <x:v>Caio Gomes</x:v>
      </x:c>
      <x:c r="G332" t="str">
        <x:v>SP</x:v>
      </x:c>
      <x:c r="H332" t="str">
        <x:v>Mirassol</x:v>
      </x:c>
      <x:c r="I332" s="34" t="n">
        <x:v>22</x:v>
      </x:c>
      <x:c r="J332" t="str">
        <x:v>PENDENTE</x:v>
      </x:c>
      <x:c r="K332" t="str">
        <x:v>Site</x:v>
      </x:c>
      <x:c r="L332" t="str">
        <x:v>Boleto</x:v>
      </x:c>
      <x:c r="M332" s="34" t="n">
        <x:v>17</x:v>
      </x:c>
      <x:c r="N332" t="str">
        <x:v>Processador Ryzen 5</x:v>
      </x:c>
      <x:c r="O332" t="str">
        <x:v>Componentes</x:v>
      </x:c>
      <x:c r="P332" t="str">
        <x:v>FastHardware</x:v>
      </x:c>
      <x:c r="Q332" s="34" t="n">
        <x:v>1</x:v>
      </x:c>
      <x:c r="R332" s="36" t="n">
        <x:v>799.9</x:v>
      </x:c>
      <x:c r="S332" s="38" t="n">
        <x:v>0</x:v>
      </x:c>
      <x:c r="T332" s="36" t="n">
        <x:v>799.9</x:v>
      </x:c>
      <x:c r="U332" s="36" t="n">
        <x:v>799.9</x:v>
      </x:c>
      <x:c r="V332" s="36" t="n">
        <x:v>0</x:v>
      </x:c>
      <x:c r="W332" s="36" t="n">
        <x:v>799.9</x:v>
      </x:c>
      <x:c r="X332" s="36" t="n">
        <x:v>612</x:v>
      </x:c>
      <x:c r="Y332" s="36" t="n">
        <x:v>187.9</x:v>
      </x:c>
      <x:c r="Z332" s="38" t="n">
        <x:v>0.2349</x:v>
      </x:c>
      <x:c r="AA332" s="36" t="n">
        <x:v>12</x:v>
      </x:c>
      <x:c r="AB332" s="34"/>
      <x:c r="AC332" t="str"/>
    </x:row>
    <x:row r="333">
      <x:c r="A333" s="34" t="n">
        <x:v>332</x:v>
      </x:c>
      <x:c r="B333" s="34" t="n">
        <x:v>188</x:v>
      </x:c>
      <x:c r="C333" s="32" t="n">
        <x:v>46093</x:v>
      </x:c>
      <x:c r="D333" t="str">
        <x:v>2026-03</x:v>
      </x:c>
      <x:c r="E333" s="34" t="n">
        <x:v>52</x:v>
      </x:c>
      <x:c r="F333" t="str">
        <x:v>Henrique Gomes</x:v>
      </x:c>
      <x:c r="G333" t="str">
        <x:v>SP</x:v>
      </x:c>
      <x:c r="H333" t="str">
        <x:v>Catanduva</x:v>
      </x:c>
      <x:c r="I333" s="34" t="n">
        <x:v>27</x:v>
      </x:c>
      <x:c r="J333" t="str">
        <x:v>ENTREGUE</x:v>
      </x:c>
      <x:c r="K333" t="str">
        <x:v>Site</x:v>
      </x:c>
      <x:c r="L333" t="str">
        <x:v>Cartão crédito</x:v>
      </x:c>
      <x:c r="M333" s="34" t="n">
        <x:v>27</x:v>
      </x:c>
      <x:c r="N333" t="str">
        <x:v>Placa de Rede PCIe</x:v>
      </x:c>
      <x:c r="O333" t="str">
        <x:v>Rede</x:v>
      </x:c>
      <x:c r="P333" t="str">
        <x:v>Connect Rede</x:v>
      </x:c>
      <x:c r="Q333" s="34" t="n">
        <x:v>2</x:v>
      </x:c>
      <x:c r="R333" s="36" t="n">
        <x:v>79.9</x:v>
      </x:c>
      <x:c r="S333" s="38" t="n">
        <x:v>0</x:v>
      </x:c>
      <x:c r="T333" s="36" t="n">
        <x:v>79.9</x:v>
      </x:c>
      <x:c r="U333" s="36" t="n">
        <x:v>159.8</x:v>
      </x:c>
      <x:c r="V333" s="36" t="n">
        <x:v>0</x:v>
      </x:c>
      <x:c r="W333" s="36" t="n">
        <x:v>159.8</x:v>
      </x:c>
      <x:c r="X333" s="36" t="n">
        <x:v>74</x:v>
      </x:c>
      <x:c r="Y333" s="36" t="n">
        <x:v>85.8</x:v>
      </x:c>
      <x:c r="Z333" s="38" t="n">
        <x:v>0.5369</x:v>
      </x:c>
      <x:c r="AA333" s="36" t="n">
        <x:v>27.08</x:v>
      </x:c>
      <x:c r="AB333" s="34" t="n">
        <x:v>5</x:v>
      </x:c>
      <x:c r="AC333" t="str"/>
    </x:row>
    <x:row r="334">
      <x:c r="A334" s="34" t="n">
        <x:v>333</x:v>
      </x:c>
      <x:c r="B334" s="34" t="n">
        <x:v>188</x:v>
      </x:c>
      <x:c r="C334" s="32" t="n">
        <x:v>46093</x:v>
      </x:c>
      <x:c r="D334" t="str">
        <x:v>2026-03</x:v>
      </x:c>
      <x:c r="E334" s="34" t="n">
        <x:v>52</x:v>
      </x:c>
      <x:c r="F334" t="str">
        <x:v>Henrique Gomes</x:v>
      </x:c>
      <x:c r="G334" t="str">
        <x:v>SP</x:v>
      </x:c>
      <x:c r="H334" t="str">
        <x:v>Catanduva</x:v>
      </x:c>
      <x:c r="I334" s="34" t="n">
        <x:v>27</x:v>
      </x:c>
      <x:c r="J334" t="str">
        <x:v>ENTREGUE</x:v>
      </x:c>
      <x:c r="K334" t="str">
        <x:v>Site</x:v>
      </x:c>
      <x:c r="L334" t="str">
        <x:v>Cartão crédito</x:v>
      </x:c>
      <x:c r="M334" s="34" t="n">
        <x:v>28</x:v>
      </x:c>
      <x:c r="N334" t="str">
        <x:v>Repetidor Wi-Fi</x:v>
      </x:c>
      <x:c r="O334" t="str">
        <x:v>Rede</x:v>
      </x:c>
      <x:c r="P334" t="str">
        <x:v>Connect Rede</x:v>
      </x:c>
      <x:c r="Q334" s="34" t="n">
        <x:v>1</x:v>
      </x:c>
      <x:c r="R334" s="36" t="n">
        <x:v>139.9</x:v>
      </x:c>
      <x:c r="S334" s="38" t="n">
        <x:v>0</x:v>
      </x:c>
      <x:c r="T334" s="36" t="n">
        <x:v>139.9</x:v>
      </x:c>
      <x:c r="U334" s="36" t="n">
        <x:v>139.9</x:v>
      </x:c>
      <x:c r="V334" s="36" t="n">
        <x:v>0</x:v>
      </x:c>
      <x:c r="W334" s="36" t="n">
        <x:v>139.9</x:v>
      </x:c>
      <x:c r="X334" s="36" t="n">
        <x:v>69</x:v>
      </x:c>
      <x:c r="Y334" s="36" t="n">
        <x:v>70.9</x:v>
      </x:c>
      <x:c r="Z334" s="38" t="n">
        <x:v>0.5068</x:v>
      </x:c>
      <x:c r="AA334" s="36" t="n">
        <x:v>27.08</x:v>
      </x:c>
      <x:c r="AB334" s="34" t="n">
        <x:v>5</x:v>
      </x:c>
      <x:c r="AC334" t="str"/>
    </x:row>
    <x:row r="335">
      <x:c r="A335" s="34" t="n">
        <x:v>334</x:v>
      </x:c>
      <x:c r="B335" s="34" t="n">
        <x:v>189</x:v>
      </x:c>
      <x:c r="C335" s="32" t="n">
        <x:v>46135</x:v>
      </x:c>
      <x:c r="D335" t="str">
        <x:v>2026-04</x:v>
      </x:c>
      <x:c r="E335" s="34" t="n">
        <x:v>4</x:v>
      </x:c>
      <x:c r="F335" t="str">
        <x:v>Letícia Santos</x:v>
      </x:c>
      <x:c r="G335" t="str">
        <x:v>SP</x:v>
      </x:c>
      <x:c r="H335" t="str">
        <x:v>Catanduva</x:v>
      </x:c>
      <x:c r="I335" s="34" t="n">
        <x:v>36</x:v>
      </x:c>
      <x:c r="J335" t="str">
        <x:v>EM PROCESSAMENTO</x:v>
      </x:c>
      <x:c r="K335" t="str">
        <x:v>Site</x:v>
      </x:c>
      <x:c r="L335" t="str">
        <x:v>Pix</x:v>
      </x:c>
      <x:c r="M335" s="34" t="n">
        <x:v>12</x:v>
      </x:c>
      <x:c r="N335" t="str">
        <x:v>HD Externo 1TB</x:v>
      </x:c>
      <x:c r="O335" t="str">
        <x:v>Armazenamento</x:v>
      </x:c>
      <x:c r="P335" t="str">
        <x:v>InfoMax Atacado</x:v>
      </x:c>
      <x:c r="Q335" s="34" t="n">
        <x:v>1</x:v>
      </x:c>
      <x:c r="R335" s="36" t="n">
        <x:v>369.9</x:v>
      </x:c>
      <x:c r="S335" s="38" t="n">
        <x:v>0.08</x:v>
      </x:c>
      <x:c r="T335" s="36" t="n">
        <x:v>340.31</x:v>
      </x:c>
      <x:c r="U335" s="36" t="n">
        <x:v>369.9</x:v>
      </x:c>
      <x:c r="V335" s="36" t="n">
        <x:v>29.59</x:v>
      </x:c>
      <x:c r="W335" s="36" t="n">
        <x:v>340.31</x:v>
      </x:c>
      <x:c r="X335" s="36" t="n">
        <x:v>246</x:v>
      </x:c>
      <x:c r="Y335" s="36" t="n">
        <x:v>94.31</x:v>
      </x:c>
      <x:c r="Z335" s="38" t="n">
        <x:v>0.2771</x:v>
      </x:c>
      <x:c r="AA335" s="36" t="n">
        <x:v>57.96</x:v>
      </x:c>
      <x:c r="AB335" s="34"/>
      <x:c r="AC335" t="str"/>
    </x:row>
    <x:row r="336">
      <x:c r="A336" s="34" t="n">
        <x:v>335</x:v>
      </x:c>
      <x:c r="B336" s="34" t="n">
        <x:v>189</x:v>
      </x:c>
      <x:c r="C336" s="32" t="n">
        <x:v>46135</x:v>
      </x:c>
      <x:c r="D336" t="str">
        <x:v>2026-04</x:v>
      </x:c>
      <x:c r="E336" s="34" t="n">
        <x:v>4</x:v>
      </x:c>
      <x:c r="F336" t="str">
        <x:v>Letícia Santos</x:v>
      </x:c>
      <x:c r="G336" t="str">
        <x:v>SP</x:v>
      </x:c>
      <x:c r="H336" t="str">
        <x:v>Catanduva</x:v>
      </x:c>
      <x:c r="I336" s="34" t="n">
        <x:v>36</x:v>
      </x:c>
      <x:c r="J336" t="str">
        <x:v>EM PROCESSAMENTO</x:v>
      </x:c>
      <x:c r="K336" t="str">
        <x:v>Site</x:v>
      </x:c>
      <x:c r="L336" t="str">
        <x:v>Pix</x:v>
      </x:c>
      <x:c r="M336" s="34" t="n">
        <x:v>28</x:v>
      </x:c>
      <x:c r="N336" t="str">
        <x:v>Repetidor Wi-Fi</x:v>
      </x:c>
      <x:c r="O336" t="str">
        <x:v>Rede</x:v>
      </x:c>
      <x:c r="P336" t="str">
        <x:v>Connect Rede</x:v>
      </x:c>
      <x:c r="Q336" s="34" t="n">
        <x:v>1</x:v>
      </x:c>
      <x:c r="R336" s="36" t="n">
        <x:v>139.9</x:v>
      </x:c>
      <x:c r="S336" s="38" t="n">
        <x:v>0</x:v>
      </x:c>
      <x:c r="T336" s="36" t="n">
        <x:v>139.9</x:v>
      </x:c>
      <x:c r="U336" s="36" t="n">
        <x:v>139.9</x:v>
      </x:c>
      <x:c r="V336" s="36" t="n">
        <x:v>0</x:v>
      </x:c>
      <x:c r="W336" s="36" t="n">
        <x:v>139.9</x:v>
      </x:c>
      <x:c r="X336" s="36" t="n">
        <x:v>69</x:v>
      </x:c>
      <x:c r="Y336" s="36" t="n">
        <x:v>70.9</x:v>
      </x:c>
      <x:c r="Z336" s="38" t="n">
        <x:v>0.5068</x:v>
      </x:c>
      <x:c r="AA336" s="36" t="n">
        <x:v>57.96</x:v>
      </x:c>
      <x:c r="AB336" s="34"/>
      <x:c r="AC336" t="str"/>
    </x:row>
    <x:row r="337">
      <x:c r="A337" s="34" t="n">
        <x:v>336</x:v>
      </x:c>
      <x:c r="B337" s="34" t="n">
        <x:v>189</x:v>
      </x:c>
      <x:c r="C337" s="32" t="n">
        <x:v>46135</x:v>
      </x:c>
      <x:c r="D337" t="str">
        <x:v>2026-04</x:v>
      </x:c>
      <x:c r="E337" s="34" t="n">
        <x:v>4</x:v>
      </x:c>
      <x:c r="F337" t="str">
        <x:v>Letícia Santos</x:v>
      </x:c>
      <x:c r="G337" t="str">
        <x:v>SP</x:v>
      </x:c>
      <x:c r="H337" t="str">
        <x:v>Catanduva</x:v>
      </x:c>
      <x:c r="I337" s="34" t="n">
        <x:v>36</x:v>
      </x:c>
      <x:c r="J337" t="str">
        <x:v>EM PROCESSAMENTO</x:v>
      </x:c>
      <x:c r="K337" t="str">
        <x:v>Site</x:v>
      </x:c>
      <x:c r="L337" t="str">
        <x:v>Pix</x:v>
      </x:c>
      <x:c r="M337" s="34" t="n">
        <x:v>1</x:v>
      </x:c>
      <x:c r="N337" t="str">
        <x:v>Mouse Óptico USB</x:v>
      </x:c>
      <x:c r="O337" t="str">
        <x:v>Periféricos</x:v>
      </x:c>
      <x:c r="P337" t="str">
        <x:v>TechDistribuidora Brasil</x:v>
      </x:c>
      <x:c r="Q337" s="34" t="n">
        <x:v>1</x:v>
      </x:c>
      <x:c r="R337" s="36" t="n">
        <x:v>49.9</x:v>
      </x:c>
      <x:c r="S337" s="38" t="n">
        <x:v>0.03</x:v>
      </x:c>
      <x:c r="T337" s="36" t="n">
        <x:v>48.4</x:v>
      </x:c>
      <x:c r="U337" s="36" t="n">
        <x:v>49.9</x:v>
      </x:c>
      <x:c r="V337" s="36" t="n">
        <x:v>1.5</x:v>
      </x:c>
      <x:c r="W337" s="36" t="n">
        <x:v>48.4</x:v>
      </x:c>
      <x:c r="X337" s="36" t="n">
        <x:v>25</x:v>
      </x:c>
      <x:c r="Y337" s="36" t="n">
        <x:v>23.4</x:v>
      </x:c>
      <x:c r="Z337" s="38" t="n">
        <x:v>0.4835</x:v>
      </x:c>
      <x:c r="AA337" s="36" t="n">
        <x:v>57.96</x:v>
      </x:c>
      <x:c r="AB337" s="34"/>
      <x:c r="AC337" t="str"/>
    </x:row>
    <x:row r="338">
      <x:c r="A338" s="34" t="n">
        <x:v>337</x:v>
      </x:c>
      <x:c r="B338" s="34" t="n">
        <x:v>190</x:v>
      </x:c>
      <x:c r="C338" s="32" t="n">
        <x:v>46174</x:v>
      </x:c>
      <x:c r="D338" t="str">
        <x:v>2026-06</x:v>
      </x:c>
      <x:c r="E338" s="34" t="n">
        <x:v>30</x:v>
      </x:c>
      <x:c r="F338" t="str">
        <x:v>Renan Souza</x:v>
      </x:c>
      <x:c r="G338" t="str">
        <x:v>SP</x:v>
      </x:c>
      <x:c r="H338" t="str">
        <x:v>São Paulo</x:v>
      </x:c>
      <x:c r="I338" s="34" t="n">
        <x:v>33</x:v>
      </x:c>
      <x:c r="J338" t="str">
        <x:v>ENTREGUE</x:v>
      </x:c>
      <x:c r="K338" t="str">
        <x:v>Site</x:v>
      </x:c>
      <x:c r="L338" t="str">
        <x:v>Pix</x:v>
      </x:c>
      <x:c r="M338" s="34" t="n">
        <x:v>26</x:v>
      </x:c>
      <x:c r="N338" t="str">
        <x:v>Switch 8 Portas Gigabit</x:v>
      </x:c>
      <x:c r="O338" t="str">
        <x:v>Rede</x:v>
      </x:c>
      <x:c r="P338" t="str">
        <x:v>Connect Rede</x:v>
      </x:c>
      <x:c r="Q338" s="34" t="n">
        <x:v>1</x:v>
      </x:c>
      <x:c r="R338" s="36" t="n">
        <x:v>189.9</x:v>
      </x:c>
      <x:c r="S338" s="38" t="n">
        <x:v>0</x:v>
      </x:c>
      <x:c r="T338" s="36" t="n">
        <x:v>189.9</x:v>
      </x:c>
      <x:c r="U338" s="36" t="n">
        <x:v>189.9</x:v>
      </x:c>
      <x:c r="V338" s="36" t="n">
        <x:v>0</x:v>
      </x:c>
      <x:c r="W338" s="36" t="n">
        <x:v>189.9</x:v>
      </x:c>
      <x:c r="X338" s="36" t="n">
        <x:v>103</x:v>
      </x:c>
      <x:c r="Y338" s="36" t="n">
        <x:v>86.9</x:v>
      </x:c>
      <x:c r="Z338" s="38" t="n">
        <x:v>0.4576</x:v>
      </x:c>
      <x:c r="AA338" s="36" t="n">
        <x:v>13.05</x:v>
      </x:c>
      <x:c r="AB338" s="34" t="n">
        <x:v>10</x:v>
      </x:c>
      <x:c r="AC338" t="str"/>
    </x:row>
    <x:row r="339">
      <x:c r="A339" s="34" t="n">
        <x:v>338</x:v>
      </x:c>
      <x:c r="B339" s="34" t="n">
        <x:v>191</x:v>
      </x:c>
      <x:c r="C339" s="32" t="n">
        <x:v>46094</x:v>
      </x:c>
      <x:c r="D339" t="str">
        <x:v>2026-03</x:v>
      </x:c>
      <x:c r="E339" s="34" t="n">
        <x:v>50</x:v>
      </x:c>
      <x:c r="F339" t="str">
        <x:v>Rodrigo Lima</x:v>
      </x:c>
      <x:c r="G339" t="str">
        <x:v>MG</x:v>
      </x:c>
      <x:c r="H339" t="str">
        <x:v>Uberlândia</x:v>
      </x:c>
      <x:c r="I339" s="34" t="n">
        <x:v>47</x:v>
      </x:c>
      <x:c r="J339" t="str">
        <x:v>ENVIADO</x:v>
      </x:c>
      <x:c r="K339" t="str">
        <x:v>Instagram</x:v>
      </x:c>
      <x:c r="L339" t="str">
        <x:v>Cartão crédito</x:v>
      </x:c>
      <x:c r="M339" s="34" t="n">
        <x:v>19</x:v>
      </x:c>
      <x:c r="N339" t="str">
        <x:v>Monitor LED 21.5"</x:v>
      </x:c>
      <x:c r="O339" t="str">
        <x:v>Monitores</x:v>
      </x:c>
      <x:c r="P339" t="str">
        <x:v>Brasil Monitores</x:v>
      </x:c>
      <x:c r="Q339" s="34" t="n">
        <x:v>1</x:v>
      </x:c>
      <x:c r="R339" s="36" t="n">
        <x:v>679.9</x:v>
      </x:c>
      <x:c r="S339" s="38" t="n">
        <x:v>0.1</x:v>
      </x:c>
      <x:c r="T339" s="36" t="n">
        <x:v>611.91</x:v>
      </x:c>
      <x:c r="U339" s="36" t="n">
        <x:v>679.9</x:v>
      </x:c>
      <x:c r="V339" s="36" t="n">
        <x:v>67.99</x:v>
      </x:c>
      <x:c r="W339" s="36" t="n">
        <x:v>611.91</x:v>
      </x:c>
      <x:c r="X339" s="36" t="n">
        <x:v>495</x:v>
      </x:c>
      <x:c r="Y339" s="36" t="n">
        <x:v>116.91</x:v>
      </x:c>
      <x:c r="Z339" s="38" t="n">
        <x:v>0.1911</x:v>
      </x:c>
      <x:c r="AA339" s="36" t="n">
        <x:v>47.27</x:v>
      </x:c>
      <x:c r="AB339" s="34" t="n">
        <x:v>4</x:v>
      </x:c>
      <x:c r="AC339" t="str"/>
    </x:row>
    <x:row r="340">
      <x:c r="A340" s="34" t="n">
        <x:v>339</x:v>
      </x:c>
      <x:c r="B340" s="34" t="n">
        <x:v>192</x:v>
      </x:c>
      <x:c r="C340" s="32" t="n">
        <x:v>46176</x:v>
      </x:c>
      <x:c r="D340" t="str">
        <x:v>2026-06</x:v>
      </x:c>
      <x:c r="E340" s="34" t="n">
        <x:v>3</x:v>
      </x:c>
      <x:c r="F340" t="str">
        <x:v>Matheus Almeida</x:v>
      </x:c>
      <x:c r="G340" t="str">
        <x:v>SP</x:v>
      </x:c>
      <x:c r="H340" t="str">
        <x:v>Votuporanga</x:v>
      </x:c>
      <x:c r="I340" s="34" t="n">
        <x:v>23</x:v>
      </x:c>
      <x:c r="J340" t="str">
        <x:v>ENVIADO</x:v>
      </x:c>
      <x:c r="K340" t="str">
        <x:v>WhatsApp</x:v>
      </x:c>
      <x:c r="L340" t="str">
        <x:v>Cartão crédito</x:v>
      </x:c>
      <x:c r="M340" s="34" t="n">
        <x:v>18</x:v>
      </x:c>
      <x:c r="N340" t="str">
        <x:v>Cooler para Processador</x:v>
      </x:c>
      <x:c r="O340" t="str">
        <x:v>Componentes</x:v>
      </x:c>
      <x:c r="P340" t="str">
        <x:v>Mega Componentes</x:v>
      </x:c>
      <x:c r="Q340" s="34" t="n">
        <x:v>1</x:v>
      </x:c>
      <x:c r="R340" s="36" t="n">
        <x:v>99.9</x:v>
      </x:c>
      <x:c r="S340" s="38" t="n">
        <x:v>0.08</x:v>
      </x:c>
      <x:c r="T340" s="36" t="n">
        <x:v>91.91</x:v>
      </x:c>
      <x:c r="U340" s="36" t="n">
        <x:v>99.9</x:v>
      </x:c>
      <x:c r="V340" s="36" t="n">
        <x:v>7.99</x:v>
      </x:c>
      <x:c r="W340" s="36" t="n">
        <x:v>91.91</x:v>
      </x:c>
      <x:c r="X340" s="36" t="n">
        <x:v>46</x:v>
      </x:c>
      <x:c r="Y340" s="36" t="n">
        <x:v>45.91</x:v>
      </x:c>
      <x:c r="Z340" s="38" t="n">
        <x:v>0.4995</x:v>
      </x:c>
      <x:c r="AA340" s="36" t="n">
        <x:v>33.17</x:v>
      </x:c>
      <x:c r="AB340" s="34" t="n">
        <x:v>3</x:v>
      </x:c>
      <x:c r="AC340" t="str"/>
    </x:row>
    <x:row r="341">
      <x:c r="A341" s="34" t="n">
        <x:v>340</x:v>
      </x:c>
      <x:c r="B341" s="34" t="n">
        <x:v>192</x:v>
      </x:c>
      <x:c r="C341" s="32" t="n">
        <x:v>46176</x:v>
      </x:c>
      <x:c r="D341" t="str">
        <x:v>2026-06</x:v>
      </x:c>
      <x:c r="E341" s="34" t="n">
        <x:v>3</x:v>
      </x:c>
      <x:c r="F341" t="str">
        <x:v>Matheus Almeida</x:v>
      </x:c>
      <x:c r="G341" t="str">
        <x:v>SP</x:v>
      </x:c>
      <x:c r="H341" t="str">
        <x:v>Votuporanga</x:v>
      </x:c>
      <x:c r="I341" s="34" t="n">
        <x:v>23</x:v>
      </x:c>
      <x:c r="J341" t="str">
        <x:v>ENVIADO</x:v>
      </x:c>
      <x:c r="K341" t="str">
        <x:v>WhatsApp</x:v>
      </x:c>
      <x:c r="L341" t="str">
        <x:v>Cartão crédito</x:v>
      </x:c>
      <x:c r="M341" s="34" t="n">
        <x:v>28</x:v>
      </x:c>
      <x:c r="N341" t="str">
        <x:v>Repetidor Wi-Fi</x:v>
      </x:c>
      <x:c r="O341" t="str">
        <x:v>Rede</x:v>
      </x:c>
      <x:c r="P341" t="str">
        <x:v>Connect Rede</x:v>
      </x:c>
      <x:c r="Q341" s="34" t="n">
        <x:v>1</x:v>
      </x:c>
      <x:c r="R341" s="36" t="n">
        <x:v>139.9</x:v>
      </x:c>
      <x:c r="S341" s="38" t="n">
        <x:v>0</x:v>
      </x:c>
      <x:c r="T341" s="36" t="n">
        <x:v>139.9</x:v>
      </x:c>
      <x:c r="U341" s="36" t="n">
        <x:v>139.9</x:v>
      </x:c>
      <x:c r="V341" s="36" t="n">
        <x:v>0</x:v>
      </x:c>
      <x:c r="W341" s="36" t="n">
        <x:v>139.9</x:v>
      </x:c>
      <x:c r="X341" s="36" t="n">
        <x:v>69</x:v>
      </x:c>
      <x:c r="Y341" s="36" t="n">
        <x:v>70.9</x:v>
      </x:c>
      <x:c r="Z341" s="38" t="n">
        <x:v>0.5068</x:v>
      </x:c>
      <x:c r="AA341" s="36" t="n">
        <x:v>33.17</x:v>
      </x:c>
      <x:c r="AB341" s="34" t="n">
        <x:v>3</x:v>
      </x:c>
      <x:c r="AC341" t="str"/>
    </x:row>
    <x:row r="342">
      <x:c r="A342" s="34" t="n">
        <x:v>341</x:v>
      </x:c>
      <x:c r="B342" s="34" t="n">
        <x:v>193</x:v>
      </x:c>
      <x:c r="C342" s="32" t="n">
        <x:v>46066</x:v>
      </x:c>
      <x:c r="D342" t="str">
        <x:v>2026-02</x:v>
      </x:c>
      <x:c r="E342" s="34" t="n">
        <x:v>20</x:v>
      </x:c>
      <x:c r="F342" t="str">
        <x:v>Henrique Silva</x:v>
      </x:c>
      <x:c r="G342" t="str">
        <x:v>SP</x:v>
      </x:c>
      <x:c r="H342" t="str">
        <x:v>Ribeirão Preto</x:v>
      </x:c>
      <x:c r="I342" s="34" t="n">
        <x:v>21</x:v>
      </x:c>
      <x:c r="J342" t="str">
        <x:v>ENTREGUE</x:v>
      </x:c>
      <x:c r="K342" t="str">
        <x:v>Site</x:v>
      </x:c>
      <x:c r="L342" t="str">
        <x:v>Pix</x:v>
      </x:c>
      <x:c r="M342" s="34" t="n">
        <x:v>26</x:v>
      </x:c>
      <x:c r="N342" t="str">
        <x:v>Switch 8 Portas Gigabit</x:v>
      </x:c>
      <x:c r="O342" t="str">
        <x:v>Rede</x:v>
      </x:c>
      <x:c r="P342" t="str">
        <x:v>Connect Rede</x:v>
      </x:c>
      <x:c r="Q342" s="34" t="n">
        <x:v>2</x:v>
      </x:c>
      <x:c r="R342" s="36" t="n">
        <x:v>189.9</x:v>
      </x:c>
      <x:c r="S342" s="38" t="n">
        <x:v>0.12</x:v>
      </x:c>
      <x:c r="T342" s="36" t="n">
        <x:v>167.11</x:v>
      </x:c>
      <x:c r="U342" s="36" t="n">
        <x:v>379.8</x:v>
      </x:c>
      <x:c r="V342" s="36" t="n">
        <x:v>45.58</x:v>
      </x:c>
      <x:c r="W342" s="36" t="n">
        <x:v>334.22</x:v>
      </x:c>
      <x:c r="X342" s="36" t="n">
        <x:v>206</x:v>
      </x:c>
      <x:c r="Y342" s="36" t="n">
        <x:v>128.22</x:v>
      </x:c>
      <x:c r="Z342" s="38" t="n">
        <x:v>0.3836</x:v>
      </x:c>
      <x:c r="AA342" s="36" t="n">
        <x:v>29.57</x:v>
      </x:c>
      <x:c r="AB342" s="34" t="n">
        <x:v>2</x:v>
      </x:c>
      <x:c r="AC342" t="str"/>
    </x:row>
    <x:row r="343">
      <x:c r="A343" s="34" t="n">
        <x:v>342</x:v>
      </x:c>
      <x:c r="B343" s="34" t="n">
        <x:v>194</x:v>
      </x:c>
      <x:c r="C343" s="32" t="n">
        <x:v>46178</x:v>
      </x:c>
      <x:c r="D343" t="str">
        <x:v>2026-06</x:v>
      </x:c>
      <x:c r="E343" s="34" t="n">
        <x:v>58</x:v>
      </x:c>
      <x:c r="F343" t="str">
        <x:v>João Souza</x:v>
      </x:c>
      <x:c r="G343" t="str">
        <x:v>SP</x:v>
      </x:c>
      <x:c r="H343" t="str">
        <x:v>Mirassol</x:v>
      </x:c>
      <x:c r="I343" s="34" t="n">
        <x:v>52</x:v>
      </x:c>
      <x:c r="J343" t="str">
        <x:v>ENVIADO</x:v>
      </x:c>
      <x:c r="K343" t="str">
        <x:v>Site</x:v>
      </x:c>
      <x:c r="L343" t="str">
        <x:v>Pix</x:v>
      </x:c>
      <x:c r="M343" s="34" t="n">
        <x:v>18</x:v>
      </x:c>
      <x:c r="N343" t="str">
        <x:v>Cooler para Processador</x:v>
      </x:c>
      <x:c r="O343" t="str">
        <x:v>Componentes</x:v>
      </x:c>
      <x:c r="P343" t="str">
        <x:v>Mega Componentes</x:v>
      </x:c>
      <x:c r="Q343" s="34" t="n">
        <x:v>1</x:v>
      </x:c>
      <x:c r="R343" s="36" t="n">
        <x:v>99.9</x:v>
      </x:c>
      <x:c r="S343" s="38" t="n">
        <x:v>0.03</x:v>
      </x:c>
      <x:c r="T343" s="36" t="n">
        <x:v>96.9</x:v>
      </x:c>
      <x:c r="U343" s="36" t="n">
        <x:v>99.9</x:v>
      </x:c>
      <x:c r="V343" s="36" t="n">
        <x:v>3</x:v>
      </x:c>
      <x:c r="W343" s="36" t="n">
        <x:v>96.9</x:v>
      </x:c>
      <x:c r="X343" s="36" t="n">
        <x:v>46</x:v>
      </x:c>
      <x:c r="Y343" s="36" t="n">
        <x:v>50.9</x:v>
      </x:c>
      <x:c r="Z343" s="38" t="n">
        <x:v>0.5253</x:v>
      </x:c>
      <x:c r="AA343" s="36" t="n">
        <x:v>38.05</x:v>
      </x:c>
      <x:c r="AB343" s="34" t="n">
        <x:v>8</x:v>
      </x:c>
      <x:c r="AC343" t="str"/>
    </x:row>
    <x:row r="344">
      <x:c r="A344" s="34" t="n">
        <x:v>343</x:v>
      </x:c>
      <x:c r="B344" s="34" t="n">
        <x:v>194</x:v>
      </x:c>
      <x:c r="C344" s="32" t="n">
        <x:v>46178</x:v>
      </x:c>
      <x:c r="D344" t="str">
        <x:v>2026-06</x:v>
      </x:c>
      <x:c r="E344" s="34" t="n">
        <x:v>58</x:v>
      </x:c>
      <x:c r="F344" t="str">
        <x:v>João Souza</x:v>
      </x:c>
      <x:c r="G344" t="str">
        <x:v>SP</x:v>
      </x:c>
      <x:c r="H344" t="str">
        <x:v>Mirassol</x:v>
      </x:c>
      <x:c r="I344" s="34" t="n">
        <x:v>52</x:v>
      </x:c>
      <x:c r="J344" t="str">
        <x:v>ENVIADO</x:v>
      </x:c>
      <x:c r="K344" t="str">
        <x:v>Site</x:v>
      </x:c>
      <x:c r="L344" t="str">
        <x:v>Pix</x:v>
      </x:c>
      <x:c r="M344" s="34" t="n">
        <x:v>3</x:v>
      </x:c>
      <x:c r="N344" t="str">
        <x:v>Headset Gamer P2</x:v>
      </x:c>
      <x:c r="O344" t="str">
        <x:v>Periféricos</x:v>
      </x:c>
      <x:c r="P344" t="str">
        <x:v>FastHardware</x:v>
      </x:c>
      <x:c r="Q344" s="34" t="n">
        <x:v>1</x:v>
      </x:c>
      <x:c r="R344" s="36" t="n">
        <x:v>159.9</x:v>
      </x:c>
      <x:c r="S344" s="38" t="n">
        <x:v>0.05</x:v>
      </x:c>
      <x:c r="T344" s="36" t="n">
        <x:v>151.91</x:v>
      </x:c>
      <x:c r="U344" s="36" t="n">
        <x:v>159.9</x:v>
      </x:c>
      <x:c r="V344" s="36" t="n">
        <x:v>7.99</x:v>
      </x:c>
      <x:c r="W344" s="36" t="n">
        <x:v>151.91</x:v>
      </x:c>
      <x:c r="X344" s="36" t="n">
        <x:v>84</x:v>
      </x:c>
      <x:c r="Y344" s="36" t="n">
        <x:v>67.91</x:v>
      </x:c>
      <x:c r="Z344" s="38" t="n">
        <x:v>0.447</x:v>
      </x:c>
      <x:c r="AA344" s="36" t="n">
        <x:v>38.05</x:v>
      </x:c>
      <x:c r="AB344" s="34" t="n">
        <x:v>8</x:v>
      </x:c>
      <x:c r="AC344" t="str"/>
    </x:row>
    <x:row r="345">
      <x:c r="A345" s="34" t="n">
        <x:v>344</x:v>
      </x:c>
      <x:c r="B345" s="34" t="n">
        <x:v>195</x:v>
      </x:c>
      <x:c r="C345" s="32" t="n">
        <x:v>46161</x:v>
      </x:c>
      <x:c r="D345" t="str">
        <x:v>2026-05</x:v>
      </x:c>
      <x:c r="E345" s="34" t="n">
        <x:v>25</x:v>
      </x:c>
      <x:c r="F345" t="str">
        <x:v>Renan Carvalho</x:v>
      </x:c>
      <x:c r="G345" t="str">
        <x:v>MG</x:v>
      </x:c>
      <x:c r="H345" t="str">
        <x:v>Uberaba</x:v>
      </x:c>
      <x:c r="I345" s="34" t="n">
        <x:v>59</x:v>
      </x:c>
      <x:c r="J345" t="str">
        <x:v>ENTREGUE</x:v>
      </x:c>
      <x:c r="K345" t="str">
        <x:v>Site</x:v>
      </x:c>
      <x:c r="L345" t="str">
        <x:v>Cartão crédito</x:v>
      </x:c>
      <x:c r="M345" s="34" t="n">
        <x:v>5</x:v>
      </x:c>
      <x:c r="N345" t="str">
        <x:v>Mousepad Grande</x:v>
      </x:c>
      <x:c r="O345" t="str">
        <x:v>Acessórios</x:v>
      </x:c>
      <x:c r="P345" t="str">
        <x:v>Prime Eletrônicos</x:v>
      </x:c>
      <x:c r="Q345" s="34" t="n">
        <x:v>2</x:v>
      </x:c>
      <x:c r="R345" s="36" t="n">
        <x:v>39.9</x:v>
      </x:c>
      <x:c r="S345" s="38" t="n">
        <x:v>0</x:v>
      </x:c>
      <x:c r="T345" s="36" t="n">
        <x:v>39.9</x:v>
      </x:c>
      <x:c r="U345" s="36" t="n">
        <x:v>79.8</x:v>
      </x:c>
      <x:c r="V345" s="36" t="n">
        <x:v>0</x:v>
      </x:c>
      <x:c r="W345" s="36" t="n">
        <x:v>79.8</x:v>
      </x:c>
      <x:c r="X345" s="36" t="n">
        <x:v>34</x:v>
      </x:c>
      <x:c r="Y345" s="36" t="n">
        <x:v>45.8</x:v>
      </x:c>
      <x:c r="Z345" s="38" t="n">
        <x:v>0.5739</x:v>
      </x:c>
      <x:c r="AA345" s="36" t="n">
        <x:v>27.01</x:v>
      </x:c>
      <x:c r="AB345" s="34" t="n">
        <x:v>3</x:v>
      </x:c>
      <x:c r="AC345" t="str"/>
    </x:row>
    <x:row r="346">
      <x:c r="A346" s="34" t="n">
        <x:v>345</x:v>
      </x:c>
      <x:c r="B346" s="34" t="n">
        <x:v>195</x:v>
      </x:c>
      <x:c r="C346" s="32" t="n">
        <x:v>46161</x:v>
      </x:c>
      <x:c r="D346" t="str">
        <x:v>2026-05</x:v>
      </x:c>
      <x:c r="E346" s="34" t="n">
        <x:v>25</x:v>
      </x:c>
      <x:c r="F346" t="str">
        <x:v>Renan Carvalho</x:v>
      </x:c>
      <x:c r="G346" t="str">
        <x:v>MG</x:v>
      </x:c>
      <x:c r="H346" t="str">
        <x:v>Uberaba</x:v>
      </x:c>
      <x:c r="I346" s="34" t="n">
        <x:v>59</x:v>
      </x:c>
      <x:c r="J346" t="str">
        <x:v>ENTREGUE</x:v>
      </x:c>
      <x:c r="K346" t="str">
        <x:v>Site</x:v>
      </x:c>
      <x:c r="L346" t="str">
        <x:v>Cartão crédito</x:v>
      </x:c>
      <x:c r="M346" s="34" t="n">
        <x:v>10</x:v>
      </x:c>
      <x:c r="N346" t="str">
        <x:v>SSD 480GB SATA</x:v>
      </x:c>
      <x:c r="O346" t="str">
        <x:v>Armazenamento</x:v>
      </x:c>
      <x:c r="P346" t="str">
        <x:v>Mega Componentes</x:v>
      </x:c>
      <x:c r="Q346" s="34" t="n">
        <x:v>1</x:v>
      </x:c>
      <x:c r="R346" s="36" t="n">
        <x:v>259.9</x:v>
      </x:c>
      <x:c r="S346" s="38" t="n">
        <x:v>0.05</x:v>
      </x:c>
      <x:c r="T346" s="36" t="n">
        <x:v>246.9</x:v>
      </x:c>
      <x:c r="U346" s="36" t="n">
        <x:v>259.9</x:v>
      </x:c>
      <x:c r="V346" s="36" t="n">
        <x:v>13</x:v>
      </x:c>
      <x:c r="W346" s="36" t="n">
        <x:v>246.9</x:v>
      </x:c>
      <x:c r="X346" s="36" t="n">
        <x:v>158</x:v>
      </x:c>
      <x:c r="Y346" s="36" t="n">
        <x:v>88.9</x:v>
      </x:c>
      <x:c r="Z346" s="38" t="n">
        <x:v>0.3601</x:v>
      </x:c>
      <x:c r="AA346" s="36" t="n">
        <x:v>27.01</x:v>
      </x:c>
      <x:c r="AB346" s="34" t="n">
        <x:v>3</x:v>
      </x:c>
      <x:c r="AC346" t="str"/>
    </x:row>
    <x:row r="347">
      <x:c r="A347" s="34" t="n">
        <x:v>346</x:v>
      </x:c>
      <x:c r="B347" s="34" t="n">
        <x:v>195</x:v>
      </x:c>
      <x:c r="C347" s="32" t="n">
        <x:v>46161</x:v>
      </x:c>
      <x:c r="D347" t="str">
        <x:v>2026-05</x:v>
      </x:c>
      <x:c r="E347" s="34" t="n">
        <x:v>25</x:v>
      </x:c>
      <x:c r="F347" t="str">
        <x:v>Renan Carvalho</x:v>
      </x:c>
      <x:c r="G347" t="str">
        <x:v>MG</x:v>
      </x:c>
      <x:c r="H347" t="str">
        <x:v>Uberaba</x:v>
      </x:c>
      <x:c r="I347" s="34" t="n">
        <x:v>59</x:v>
      </x:c>
      <x:c r="J347" t="str">
        <x:v>ENTREGUE</x:v>
      </x:c>
      <x:c r="K347" t="str">
        <x:v>Site</x:v>
      </x:c>
      <x:c r="L347" t="str">
        <x:v>Cartão crédito</x:v>
      </x:c>
      <x:c r="M347" s="34" t="n">
        <x:v>1</x:v>
      </x:c>
      <x:c r="N347" t="str">
        <x:v>Mouse Óptico USB</x:v>
      </x:c>
      <x:c r="O347" t="str">
        <x:v>Periféricos</x:v>
      </x:c>
      <x:c r="P347" t="str">
        <x:v>TechDistribuidora Brasil</x:v>
      </x:c>
      <x:c r="Q347" s="34" t="n">
        <x:v>1</x:v>
      </x:c>
      <x:c r="R347" s="36" t="n">
        <x:v>49.9</x:v>
      </x:c>
      <x:c r="S347" s="38" t="n">
        <x:v>0</x:v>
      </x:c>
      <x:c r="T347" s="36" t="n">
        <x:v>49.9</x:v>
      </x:c>
      <x:c r="U347" s="36" t="n">
        <x:v>49.9</x:v>
      </x:c>
      <x:c r="V347" s="36" t="n">
        <x:v>0</x:v>
      </x:c>
      <x:c r="W347" s="36" t="n">
        <x:v>49.9</x:v>
      </x:c>
      <x:c r="X347" s="36" t="n">
        <x:v>25</x:v>
      </x:c>
      <x:c r="Y347" s="36" t="n">
        <x:v>24.9</x:v>
      </x:c>
      <x:c r="Z347" s="38" t="n">
        <x:v>0.499</x:v>
      </x:c>
      <x:c r="AA347" s="36" t="n">
        <x:v>27.01</x:v>
      </x:c>
      <x:c r="AB347" s="34" t="n">
        <x:v>3</x:v>
      </x:c>
      <x:c r="AC347" t="str"/>
    </x:row>
    <x:row r="348">
      <x:c r="A348" s="34" t="n">
        <x:v>347</x:v>
      </x:c>
      <x:c r="B348" s="34" t="n">
        <x:v>196</x:v>
      </x:c>
      <x:c r="C348" s="32" t="n">
        <x:v>46175</x:v>
      </x:c>
      <x:c r="D348" t="str">
        <x:v>2026-06</x:v>
      </x:c>
      <x:c r="E348" s="34" t="n">
        <x:v>43</x:v>
      </x:c>
      <x:c r="F348" t="str">
        <x:v>Caio Souza</x:v>
      </x:c>
      <x:c r="G348" t="str">
        <x:v>SP</x:v>
      </x:c>
      <x:c r="H348" t="str">
        <x:v>Mirassol</x:v>
      </x:c>
      <x:c r="I348" s="34" t="n">
        <x:v>22</x:v>
      </x:c>
      <x:c r="J348" t="str">
        <x:v>ENTREGUE</x:v>
      </x:c>
      <x:c r="K348" t="str">
        <x:v>WhatsApp</x:v>
      </x:c>
      <x:c r="L348" t="str">
        <x:v>Cartão crédito</x:v>
      </x:c>
      <x:c r="M348" s="34" t="n">
        <x:v>13</x:v>
      </x:c>
      <x:c r="N348" t="str">
        <x:v>Memória RAM 8GB DDR4</x:v>
      </x:c>
      <x:c r="O348" t="str">
        <x:v>Componentes</x:v>
      </x:c>
      <x:c r="P348" t="str">
        <x:v>Mega Componentes</x:v>
      </x:c>
      <x:c r="Q348" s="34" t="n">
        <x:v>1</x:v>
      </x:c>
      <x:c r="R348" s="36" t="n">
        <x:v>179.9</x:v>
      </x:c>
      <x:c r="S348" s="38" t="n">
        <x:v>0.03</x:v>
      </x:c>
      <x:c r="T348" s="36" t="n">
        <x:v>174.5</x:v>
      </x:c>
      <x:c r="U348" s="36" t="n">
        <x:v>179.9</x:v>
      </x:c>
      <x:c r="V348" s="36" t="n">
        <x:v>5.4</x:v>
      </x:c>
      <x:c r="W348" s="36" t="n">
        <x:v>174.5</x:v>
      </x:c>
      <x:c r="X348" s="36" t="n">
        <x:v>107</x:v>
      </x:c>
      <x:c r="Y348" s="36" t="n">
        <x:v>67.5</x:v>
      </x:c>
      <x:c r="Z348" s="38" t="n">
        <x:v>0.3868</x:v>
      </x:c>
      <x:c r="AA348" s="36" t="n">
        <x:v>24.17</x:v>
      </x:c>
      <x:c r="AB348" s="34" t="n">
        <x:v>3</x:v>
      </x:c>
      <x:c r="AC348" t="str"/>
    </x:row>
    <x:row r="349">
      <x:c r="A349" s="34" t="n">
        <x:v>348</x:v>
      </x:c>
      <x:c r="B349" s="34" t="n">
        <x:v>196</x:v>
      </x:c>
      <x:c r="C349" s="32" t="n">
        <x:v>46175</x:v>
      </x:c>
      <x:c r="D349" t="str">
        <x:v>2026-06</x:v>
      </x:c>
      <x:c r="E349" s="34" t="n">
        <x:v>43</x:v>
      </x:c>
      <x:c r="F349" t="str">
        <x:v>Caio Souza</x:v>
      </x:c>
      <x:c r="G349" t="str">
        <x:v>SP</x:v>
      </x:c>
      <x:c r="H349" t="str">
        <x:v>Mirassol</x:v>
      </x:c>
      <x:c r="I349" s="34" t="n">
        <x:v>22</x:v>
      </x:c>
      <x:c r="J349" t="str">
        <x:v>ENTREGUE</x:v>
      </x:c>
      <x:c r="K349" t="str">
        <x:v>WhatsApp</x:v>
      </x:c>
      <x:c r="L349" t="str">
        <x:v>Cartão crédito</x:v>
      </x:c>
      <x:c r="M349" s="34" t="n">
        <x:v>16</x:v>
      </x:c>
      <x:c r="N349" t="str">
        <x:v>Placa de Vídeo GTX 1650</x:v>
      </x:c>
      <x:c r="O349" t="str">
        <x:v>Componentes</x:v>
      </x:c>
      <x:c r="P349" t="str">
        <x:v>FastHardware</x:v>
      </x:c>
      <x:c r="Q349" s="34" t="n">
        <x:v>2</x:v>
      </x:c>
      <x:c r="R349" s="36" t="n">
        <x:v>949.9</x:v>
      </x:c>
      <x:c r="S349" s="38" t="n">
        <x:v>0.08</x:v>
      </x:c>
      <x:c r="T349" s="36" t="n">
        <x:v>873.91</x:v>
      </x:c>
      <x:c r="U349" s="36" t="n">
        <x:v>1899.8</x:v>
      </x:c>
      <x:c r="V349" s="36" t="n">
        <x:v>151.98</x:v>
      </x:c>
      <x:c r="W349" s="36" t="n">
        <x:v>1747.82</x:v>
      </x:c>
      <x:c r="X349" s="36" t="n">
        <x:v>1470</x:v>
      </x:c>
      <x:c r="Y349" s="36" t="n">
        <x:v>277.82</x:v>
      </x:c>
      <x:c r="Z349" s="38" t="n">
        <x:v>0.159</x:v>
      </x:c>
      <x:c r="AA349" s="36" t="n">
        <x:v>24.17</x:v>
      </x:c>
      <x:c r="AB349" s="34" t="n">
        <x:v>3</x:v>
      </x:c>
      <x:c r="AC349" t="str"/>
    </x:row>
    <x:row r="350">
      <x:c r="A350" s="34" t="n">
        <x:v>349</x:v>
      </x:c>
      <x:c r="B350" s="34" t="n">
        <x:v>197</x:v>
      </x:c>
      <x:c r="C350" s="32" t="n">
        <x:v>46176</x:v>
      </x:c>
      <x:c r="D350" t="str">
        <x:v>2026-06</x:v>
      </x:c>
      <x:c r="E350" s="34" t="n">
        <x:v>23</x:v>
      </x:c>
      <x:c r="F350" t="str">
        <x:v>Matheus Silva</x:v>
      </x:c>
      <x:c r="G350" t="str">
        <x:v>RJ</x:v>
      </x:c>
      <x:c r="H350" t="str">
        <x:v>Rio de Janeiro</x:v>
      </x:c>
      <x:c r="I350" s="34" t="n">
        <x:v>21</x:v>
      </x:c>
      <x:c r="J350" t="str">
        <x:v>CANCELADO</x:v>
      </x:c>
      <x:c r="K350" t="str">
        <x:v>Marketplace</x:v>
      </x:c>
      <x:c r="L350" t="str">
        <x:v>Pix</x:v>
      </x:c>
      <x:c r="M350" s="34" t="n">
        <x:v>5</x:v>
      </x:c>
      <x:c r="N350" t="str">
        <x:v>Mousepad Grande</x:v>
      </x:c>
      <x:c r="O350" t="str">
        <x:v>Acessórios</x:v>
      </x:c>
      <x:c r="P350" t="str">
        <x:v>Prime Eletrônicos</x:v>
      </x:c>
      <x:c r="Q350" s="34" t="n">
        <x:v>1</x:v>
      </x:c>
      <x:c r="R350" s="36" t="n">
        <x:v>39.9</x:v>
      </x:c>
      <x:c r="S350" s="38" t="n">
        <x:v>0.03</x:v>
      </x:c>
      <x:c r="T350" s="36" t="n">
        <x:v>38.7</x:v>
      </x:c>
      <x:c r="U350" s="36" t="n">
        <x:v>39.9</x:v>
      </x:c>
      <x:c r="V350" s="36" t="n">
        <x:v>1.2</x:v>
      </x:c>
      <x:c r="W350" s="36" t="n">
        <x:v>0</x:v>
      </x:c>
      <x:c r="X350" s="36" t="n">
        <x:v>17</x:v>
      </x:c>
      <x:c r="Y350" s="36" t="n">
        <x:v>0</x:v>
      </x:c>
      <x:c r="Z350" s="38" t="n">
        <x:v>0</x:v>
      </x:c>
      <x:c r="AA350" s="36" t="n">
        <x:v>31.53</x:v>
      </x:c>
      <x:c r="AB350" s="34"/>
      <x:c r="AC350" t="str">
        <x:v>Falha na aprovação do pedido</x:v>
      </x:c>
    </x:row>
    <x:row r="351">
      <x:c r="A351" s="34" t="n">
        <x:v>350</x:v>
      </x:c>
      <x:c r="B351" s="34" t="n">
        <x:v>197</x:v>
      </x:c>
      <x:c r="C351" s="32" t="n">
        <x:v>46176</x:v>
      </x:c>
      <x:c r="D351" t="str">
        <x:v>2026-06</x:v>
      </x:c>
      <x:c r="E351" s="34" t="n">
        <x:v>23</x:v>
      </x:c>
      <x:c r="F351" t="str">
        <x:v>Matheus Silva</x:v>
      </x:c>
      <x:c r="G351" t="str">
        <x:v>RJ</x:v>
      </x:c>
      <x:c r="H351" t="str">
        <x:v>Rio de Janeiro</x:v>
      </x:c>
      <x:c r="I351" s="34" t="n">
        <x:v>21</x:v>
      </x:c>
      <x:c r="J351" t="str">
        <x:v>CANCELADO</x:v>
      </x:c>
      <x:c r="K351" t="str">
        <x:v>Marketplace</x:v>
      </x:c>
      <x:c r="L351" t="str">
        <x:v>Pix</x:v>
      </x:c>
      <x:c r="M351" s="34" t="n">
        <x:v>1</x:v>
      </x:c>
      <x:c r="N351" t="str">
        <x:v>Mouse Óptico USB</x:v>
      </x:c>
      <x:c r="O351" t="str">
        <x:v>Periféricos</x:v>
      </x:c>
      <x:c r="P351" t="str">
        <x:v>TechDistribuidora Brasil</x:v>
      </x:c>
      <x:c r="Q351" s="34" t="n">
        <x:v>1</x:v>
      </x:c>
      <x:c r="R351" s="36" t="n">
        <x:v>49.9</x:v>
      </x:c>
      <x:c r="S351" s="38" t="n">
        <x:v>0.1</x:v>
      </x:c>
      <x:c r="T351" s="36" t="n">
        <x:v>44.91</x:v>
      </x:c>
      <x:c r="U351" s="36" t="n">
        <x:v>49.9</x:v>
      </x:c>
      <x:c r="V351" s="36" t="n">
        <x:v>4.99</x:v>
      </x:c>
      <x:c r="W351" s="36" t="n">
        <x:v>0</x:v>
      </x:c>
      <x:c r="X351" s="36" t="n">
        <x:v>25</x:v>
      </x:c>
      <x:c r="Y351" s="36" t="n">
        <x:v>0</x:v>
      </x:c>
      <x:c r="Z351" s="38" t="n">
        <x:v>0</x:v>
      </x:c>
      <x:c r="AA351" s="36" t="n">
        <x:v>31.53</x:v>
      </x:c>
      <x:c r="AB351" s="34"/>
      <x:c r="AC351" t="str">
        <x:v>Falha na aprovação do pedido</x:v>
      </x:c>
    </x:row>
    <x:row r="352">
      <x:c r="A352" s="34" t="n">
        <x:v>351</x:v>
      </x:c>
      <x:c r="B352" s="34" t="n">
        <x:v>198</x:v>
      </x:c>
      <x:c r="C352" s="32" t="n">
        <x:v>46112</x:v>
      </x:c>
      <x:c r="D352" t="str">
        <x:v>2026-03</x:v>
      </x:c>
      <x:c r="E352" s="34" t="n">
        <x:v>5</x:v>
      </x:c>
      <x:c r="F352" t="str">
        <x:v>Olívia Gomes</x:v>
      </x:c>
      <x:c r="G352" t="str">
        <x:v>GO</x:v>
      </x:c>
      <x:c r="H352" t="str">
        <x:v>Goiânia</x:v>
      </x:c>
      <x:c r="I352" s="34" t="n">
        <x:v>41</x:v>
      </x:c>
      <x:c r="J352" t="str">
        <x:v>ENTREGUE</x:v>
      </x:c>
      <x:c r="K352" t="str">
        <x:v>Site</x:v>
      </x:c>
      <x:c r="L352" t="str">
        <x:v>Pix</x:v>
      </x:c>
      <x:c r="M352" s="34" t="n">
        <x:v>2</x:v>
      </x:c>
      <x:c r="N352" t="str">
        <x:v>Teclado Membrana ABNT2</x:v>
      </x:c>
      <x:c r="O352" t="str">
        <x:v>Periféricos</x:v>
      </x:c>
      <x:c r="P352" t="str">
        <x:v>TechDistribuidora Brasil</x:v>
      </x:c>
      <x:c r="Q352" s="34" t="n">
        <x:v>1</x:v>
      </x:c>
      <x:c r="R352" s="36" t="n">
        <x:v>89.9</x:v>
      </x:c>
      <x:c r="S352" s="38" t="n">
        <x:v>0</x:v>
      </x:c>
      <x:c r="T352" s="36" t="n">
        <x:v>89.9</x:v>
      </x:c>
      <x:c r="U352" s="36" t="n">
        <x:v>89.9</x:v>
      </x:c>
      <x:c r="V352" s="36" t="n">
        <x:v>0</x:v>
      </x:c>
      <x:c r="W352" s="36" t="n">
        <x:v>89.9</x:v>
      </x:c>
      <x:c r="X352" s="36" t="n">
        <x:v>48</x:v>
      </x:c>
      <x:c r="Y352" s="36" t="n">
        <x:v>41.9</x:v>
      </x:c>
      <x:c r="Z352" s="38" t="n">
        <x:v>0.4661</x:v>
      </x:c>
      <x:c r="AA352" s="36" t="n">
        <x:v>32.84</x:v>
      </x:c>
      <x:c r="AB352" s="34" t="n">
        <x:v>4</x:v>
      </x:c>
      <x:c r="AC352" t="str"/>
    </x:row>
    <x:row r="353">
      <x:c r="A353" s="34" t="n">
        <x:v>352</x:v>
      </x:c>
      <x:c r="B353" s="34" t="n">
        <x:v>198</x:v>
      </x:c>
      <x:c r="C353" s="32" t="n">
        <x:v>46112</x:v>
      </x:c>
      <x:c r="D353" t="str">
        <x:v>2026-03</x:v>
      </x:c>
      <x:c r="E353" s="34" t="n">
        <x:v>5</x:v>
      </x:c>
      <x:c r="F353" t="str">
        <x:v>Olívia Gomes</x:v>
      </x:c>
      <x:c r="G353" t="str">
        <x:v>GO</x:v>
      </x:c>
      <x:c r="H353" t="str">
        <x:v>Goiânia</x:v>
      </x:c>
      <x:c r="I353" s="34" t="n">
        <x:v>41</x:v>
      </x:c>
      <x:c r="J353" t="str">
        <x:v>ENTREGUE</x:v>
      </x:c>
      <x:c r="K353" t="str">
        <x:v>Site</x:v>
      </x:c>
      <x:c r="L353" t="str">
        <x:v>Pix</x:v>
      </x:c>
      <x:c r="M353" s="34" t="n">
        <x:v>5</x:v>
      </x:c>
      <x:c r="N353" t="str">
        <x:v>Mousepad Grande</x:v>
      </x:c>
      <x:c r="O353" t="str">
        <x:v>Acessórios</x:v>
      </x:c>
      <x:c r="P353" t="str">
        <x:v>Prime Eletrônicos</x:v>
      </x:c>
      <x:c r="Q353" s="34" t="n">
        <x:v>3</x:v>
      </x:c>
      <x:c r="R353" s="36" t="n">
        <x:v>39.9</x:v>
      </x:c>
      <x:c r="S353" s="38" t="n">
        <x:v>0</x:v>
      </x:c>
      <x:c r="T353" s="36" t="n">
        <x:v>39.9</x:v>
      </x:c>
      <x:c r="U353" s="36" t="n">
        <x:v>119.7</x:v>
      </x:c>
      <x:c r="V353" s="36" t="n">
        <x:v>0</x:v>
      </x:c>
      <x:c r="W353" s="36" t="n">
        <x:v>119.7</x:v>
      </x:c>
      <x:c r="X353" s="36" t="n">
        <x:v>51</x:v>
      </x:c>
      <x:c r="Y353" s="36" t="n">
        <x:v>68.7</x:v>
      </x:c>
      <x:c r="Z353" s="38" t="n">
        <x:v>0.5739</x:v>
      </x:c>
      <x:c r="AA353" s="36" t="n">
        <x:v>32.84</x:v>
      </x:c>
      <x:c r="AB353" s="34" t="n">
        <x:v>4</x:v>
      </x:c>
      <x:c r="AC353" t="str"/>
    </x:row>
    <x:row r="354">
      <x:c r="A354" s="34" t="n">
        <x:v>353</x:v>
      </x:c>
      <x:c r="B354" s="34" t="n">
        <x:v>199</x:v>
      </x:c>
      <x:c r="C354" s="32" t="n">
        <x:v>46060</x:v>
      </x:c>
      <x:c r="D354" t="str">
        <x:v>2026-02</x:v>
      </x:c>
      <x:c r="E354" s="34" t="n">
        <x:v>7</x:v>
      </x:c>
      <x:c r="F354" t="str">
        <x:v>Thiago Gomes</x:v>
      </x:c>
      <x:c r="G354" t="str">
        <x:v>RJ</x:v>
      </x:c>
      <x:c r="H354" t="str">
        <x:v>Rio de Janeiro</x:v>
      </x:c>
      <x:c r="I354" s="34" t="n">
        <x:v>61</x:v>
      </x:c>
      <x:c r="J354" t="str">
        <x:v>ENTREGUE</x:v>
      </x:c>
      <x:c r="K354" t="str">
        <x:v>Marketplace</x:v>
      </x:c>
      <x:c r="L354" t="str">
        <x:v>Pix</x:v>
      </x:c>
      <x:c r="M354" s="34" t="n">
        <x:v>27</x:v>
      </x:c>
      <x:c r="N354" t="str">
        <x:v>Placa de Rede PCIe</x:v>
      </x:c>
      <x:c r="O354" t="str">
        <x:v>Rede</x:v>
      </x:c>
      <x:c r="P354" t="str">
        <x:v>Connect Rede</x:v>
      </x:c>
      <x:c r="Q354" s="34" t="n">
        <x:v>1</x:v>
      </x:c>
      <x:c r="R354" s="36" t="n">
        <x:v>79.9</x:v>
      </x:c>
      <x:c r="S354" s="38" t="n">
        <x:v>0</x:v>
      </x:c>
      <x:c r="T354" s="36" t="n">
        <x:v>79.9</x:v>
      </x:c>
      <x:c r="U354" s="36" t="n">
        <x:v>79.9</x:v>
      </x:c>
      <x:c r="V354" s="36" t="n">
        <x:v>0</x:v>
      </x:c>
      <x:c r="W354" s="36" t="n">
        <x:v>79.9</x:v>
      </x:c>
      <x:c r="X354" s="36" t="n">
        <x:v>37</x:v>
      </x:c>
      <x:c r="Y354" s="36" t="n">
        <x:v>42.9</x:v>
      </x:c>
      <x:c r="Z354" s="38" t="n">
        <x:v>0.5369</x:v>
      </x:c>
      <x:c r="AA354" s="36" t="n">
        <x:v>33.33</x:v>
      </x:c>
      <x:c r="AB354" s="34" t="n">
        <x:v>4</x:v>
      </x:c>
      <x:c r="AC354" t="str"/>
    </x:row>
    <x:row r="355">
      <x:c r="A355" s="34" t="n">
        <x:v>354</x:v>
      </x:c>
      <x:c r="B355" s="34" t="n">
        <x:v>199</x:v>
      </x:c>
      <x:c r="C355" s="32" t="n">
        <x:v>46060</x:v>
      </x:c>
      <x:c r="D355" t="str">
        <x:v>2026-02</x:v>
      </x:c>
      <x:c r="E355" s="34" t="n">
        <x:v>7</x:v>
      </x:c>
      <x:c r="F355" t="str">
        <x:v>Thiago Gomes</x:v>
      </x:c>
      <x:c r="G355" t="str">
        <x:v>RJ</x:v>
      </x:c>
      <x:c r="H355" t="str">
        <x:v>Rio de Janeiro</x:v>
      </x:c>
      <x:c r="I355" s="34" t="n">
        <x:v>61</x:v>
      </x:c>
      <x:c r="J355" t="str">
        <x:v>ENTREGUE</x:v>
      </x:c>
      <x:c r="K355" t="str">
        <x:v>Marketplace</x:v>
      </x:c>
      <x:c r="L355" t="str">
        <x:v>Pix</x:v>
      </x:c>
      <x:c r="M355" s="34" t="n">
        <x:v>1</x:v>
      </x:c>
      <x:c r="N355" t="str">
        <x:v>Mouse Óptico USB</x:v>
      </x:c>
      <x:c r="O355" t="str">
        <x:v>Periféricos</x:v>
      </x:c>
      <x:c r="P355" t="str">
        <x:v>TechDistribuidora Brasil</x:v>
      </x:c>
      <x:c r="Q355" s="34" t="n">
        <x:v>1</x:v>
      </x:c>
      <x:c r="R355" s="36" t="n">
        <x:v>49.9</x:v>
      </x:c>
      <x:c r="S355" s="38" t="n">
        <x:v>0</x:v>
      </x:c>
      <x:c r="T355" s="36" t="n">
        <x:v>49.9</x:v>
      </x:c>
      <x:c r="U355" s="36" t="n">
        <x:v>49.9</x:v>
      </x:c>
      <x:c r="V355" s="36" t="n">
        <x:v>0</x:v>
      </x:c>
      <x:c r="W355" s="36" t="n">
        <x:v>49.9</x:v>
      </x:c>
      <x:c r="X355" s="36" t="n">
        <x:v>25</x:v>
      </x:c>
      <x:c r="Y355" s="36" t="n">
        <x:v>24.9</x:v>
      </x:c>
      <x:c r="Z355" s="38" t="n">
        <x:v>0.499</x:v>
      </x:c>
      <x:c r="AA355" s="36" t="n">
        <x:v>33.33</x:v>
      </x:c>
      <x:c r="AB355" s="34" t="n">
        <x:v>4</x:v>
      </x:c>
      <x:c r="AC355" t="str"/>
    </x:row>
    <x:row r="356">
      <x:c r="A356" s="34" t="n">
        <x:v>355</x:v>
      </x:c>
      <x:c r="B356" s="34" t="n">
        <x:v>199</x:v>
      </x:c>
      <x:c r="C356" s="32" t="n">
        <x:v>46060</x:v>
      </x:c>
      <x:c r="D356" t="str">
        <x:v>2026-02</x:v>
      </x:c>
      <x:c r="E356" s="34" t="n">
        <x:v>7</x:v>
      </x:c>
      <x:c r="F356" t="str">
        <x:v>Thiago Gomes</x:v>
      </x:c>
      <x:c r="G356" t="str">
        <x:v>RJ</x:v>
      </x:c>
      <x:c r="H356" t="str">
        <x:v>Rio de Janeiro</x:v>
      </x:c>
      <x:c r="I356" s="34" t="n">
        <x:v>61</x:v>
      </x:c>
      <x:c r="J356" t="str">
        <x:v>ENTREGUE</x:v>
      </x:c>
      <x:c r="K356" t="str">
        <x:v>Marketplace</x:v>
      </x:c>
      <x:c r="L356" t="str">
        <x:v>Pix</x:v>
      </x:c>
      <x:c r="M356" s="34" t="n">
        <x:v>3</x:v>
      </x:c>
      <x:c r="N356" t="str">
        <x:v>Headset Gamer P2</x:v>
      </x:c>
      <x:c r="O356" t="str">
        <x:v>Periféricos</x:v>
      </x:c>
      <x:c r="P356" t="str">
        <x:v>FastHardware</x:v>
      </x:c>
      <x:c r="Q356" s="34" t="n">
        <x:v>2</x:v>
      </x:c>
      <x:c r="R356" s="36" t="n">
        <x:v>159.9</x:v>
      </x:c>
      <x:c r="S356" s="38" t="n">
        <x:v>0.05</x:v>
      </x:c>
      <x:c r="T356" s="36" t="n">
        <x:v>151.91</x:v>
      </x:c>
      <x:c r="U356" s="36" t="n">
        <x:v>319.8</x:v>
      </x:c>
      <x:c r="V356" s="36" t="n">
        <x:v>15.98</x:v>
      </x:c>
      <x:c r="W356" s="36" t="n">
        <x:v>303.82</x:v>
      </x:c>
      <x:c r="X356" s="36" t="n">
        <x:v>168</x:v>
      </x:c>
      <x:c r="Y356" s="36" t="n">
        <x:v>135.82</x:v>
      </x:c>
      <x:c r="Z356" s="38" t="n">
        <x:v>0.447</x:v>
      </x:c>
      <x:c r="AA356" s="36" t="n">
        <x:v>33.33</x:v>
      </x:c>
      <x:c r="AB356" s="34" t="n">
        <x:v>4</x:v>
      </x:c>
      <x:c r="AC356" t="str"/>
    </x:row>
    <x:row r="357">
      <x:c r="A357" s="34" t="n">
        <x:v>356</x:v>
      </x:c>
      <x:c r="B357" s="34" t="n">
        <x:v>200</x:v>
      </x:c>
      <x:c r="C357" s="32" t="n">
        <x:v>46177</x:v>
      </x:c>
      <x:c r="D357" t="str">
        <x:v>2026-06</x:v>
      </x:c>
      <x:c r="E357" s="34" t="n">
        <x:v>27</x:v>
      </x:c>
      <x:c r="F357" t="str">
        <x:v>Rodrigo Almeida</x:v>
      </x:c>
      <x:c r="G357" t="str">
        <x:v>SP</x:v>
      </x:c>
      <x:c r="H357" t="str">
        <x:v>Ribeirão Preto</x:v>
      </x:c>
      <x:c r="I357" s="34" t="n">
        <x:v>64</x:v>
      </x:c>
      <x:c r="J357" t="str">
        <x:v>ENVIADO</x:v>
      </x:c>
      <x:c r="K357" t="str">
        <x:v>Marketplace</x:v>
      </x:c>
      <x:c r="L357" t="str">
        <x:v>Cartão crédito</x:v>
      </x:c>
      <x:c r="M357" s="34" t="n">
        <x:v>25</x:v>
      </x:c>
      <x:c r="N357" t="str">
        <x:v>Roteador Wi-Fi AC1200</x:v>
      </x:c>
      <x:c r="O357" t="str">
        <x:v>Rede</x:v>
      </x:c>
      <x:c r="P357" t="str">
        <x:v>Connect Rede</x:v>
      </x:c>
      <x:c r="Q357" s="34" t="n">
        <x:v>2</x:v>
      </x:c>
      <x:c r="R357" s="36" t="n">
        <x:v>249.9</x:v>
      </x:c>
      <x:c r="S357" s="38" t="n">
        <x:v>0.05</x:v>
      </x:c>
      <x:c r="T357" s="36" t="n">
        <x:v>237.41</x:v>
      </x:c>
      <x:c r="U357" s="36" t="n">
        <x:v>499.8</x:v>
      </x:c>
      <x:c r="V357" s="36" t="n">
        <x:v>24.98</x:v>
      </x:c>
      <x:c r="W357" s="36" t="n">
        <x:v>474.82</x:v>
      </x:c>
      <x:c r="X357" s="36" t="n">
        <x:v>290</x:v>
      </x:c>
      <x:c r="Y357" s="36" t="n">
        <x:v>184.82</x:v>
      </x:c>
      <x:c r="Z357" s="38" t="n">
        <x:v>0.3892</x:v>
      </x:c>
      <x:c r="AA357" s="36" t="n">
        <x:v>52.99</x:v>
      </x:c>
      <x:c r="AB357" s="34" t="n">
        <x:v>4</x:v>
      </x:c>
      <x:c r="AC357" t="str"/>
    </x:row>
    <x:row r="358">
      <x:c r="A358" s="34" t="n">
        <x:v>357</x:v>
      </x:c>
      <x:c r="B358" s="34" t="n">
        <x:v>200</x:v>
      </x:c>
      <x:c r="C358" s="32" t="n">
        <x:v>46177</x:v>
      </x:c>
      <x:c r="D358" t="str">
        <x:v>2026-06</x:v>
      </x:c>
      <x:c r="E358" s="34" t="n">
        <x:v>27</x:v>
      </x:c>
      <x:c r="F358" t="str">
        <x:v>Rodrigo Almeida</x:v>
      </x:c>
      <x:c r="G358" t="str">
        <x:v>SP</x:v>
      </x:c>
      <x:c r="H358" t="str">
        <x:v>Ribeirão Preto</x:v>
      </x:c>
      <x:c r="I358" s="34" t="n">
        <x:v>64</x:v>
      </x:c>
      <x:c r="J358" t="str">
        <x:v>ENVIADO</x:v>
      </x:c>
      <x:c r="K358" t="str">
        <x:v>Marketplace</x:v>
      </x:c>
      <x:c r="L358" t="str">
        <x:v>Cartão crédito</x:v>
      </x:c>
      <x:c r="M358" s="34" t="n">
        <x:v>2</x:v>
      </x:c>
      <x:c r="N358" t="str">
        <x:v>Teclado Membrana ABNT2</x:v>
      </x:c>
      <x:c r="O358" t="str">
        <x:v>Periféricos</x:v>
      </x:c>
      <x:c r="P358" t="str">
        <x:v>TechDistribuidora Brasil</x:v>
      </x:c>
      <x:c r="Q358" s="34" t="n">
        <x:v>1</x:v>
      </x:c>
      <x:c r="R358" s="36" t="n">
        <x:v>89.9</x:v>
      </x:c>
      <x:c r="S358" s="38" t="n">
        <x:v>0</x:v>
      </x:c>
      <x:c r="T358" s="36" t="n">
        <x:v>89.9</x:v>
      </x:c>
      <x:c r="U358" s="36" t="n">
        <x:v>89.9</x:v>
      </x:c>
      <x:c r="V358" s="36" t="n">
        <x:v>0</x:v>
      </x:c>
      <x:c r="W358" s="36" t="n">
        <x:v>89.9</x:v>
      </x:c>
      <x:c r="X358" s="36" t="n">
        <x:v>48</x:v>
      </x:c>
      <x:c r="Y358" s="36" t="n">
        <x:v>41.9</x:v>
      </x:c>
      <x:c r="Z358" s="38" t="n">
        <x:v>0.4661</x:v>
      </x:c>
      <x:c r="AA358" s="36" t="n">
        <x:v>52.99</x:v>
      </x:c>
      <x:c r="AB358" s="34" t="n">
        <x:v>4</x:v>
      </x:c>
      <x:c r="AC358" t="str"/>
    </x:row>
    <x:row r="359">
      <x:c r="A359" s="34" t="n">
        <x:v>358</x:v>
      </x:c>
      <x:c r="B359" s="34" t="n">
        <x:v>201</x:v>
      </x:c>
      <x:c r="C359" s="32" t="n">
        <x:v>46073</x:v>
      </x:c>
      <x:c r="D359" t="str">
        <x:v>2026-02</x:v>
      </x:c>
      <x:c r="E359" s="34" t="n">
        <x:v>2</x:v>
      </x:c>
      <x:c r="F359" t="str">
        <x:v>Beatriz Costa</x:v>
      </x:c>
      <x:c r="G359" t="str">
        <x:v>SP</x:v>
      </x:c>
      <x:c r="H359" t="str">
        <x:v>Votuporanga</x:v>
      </x:c>
      <x:c r="I359" s="34" t="n">
        <x:v>24</x:v>
      </x:c>
      <x:c r="J359" t="str">
        <x:v>ENTREGUE</x:v>
      </x:c>
      <x:c r="K359" t="str">
        <x:v>WhatsApp</x:v>
      </x:c>
      <x:c r="L359" t="str">
        <x:v>Pix</x:v>
      </x:c>
      <x:c r="M359" s="34" t="n">
        <x:v>27</x:v>
      </x:c>
      <x:c r="N359" t="str">
        <x:v>Placa de Rede PCIe</x:v>
      </x:c>
      <x:c r="O359" t="str">
        <x:v>Rede</x:v>
      </x:c>
      <x:c r="P359" t="str">
        <x:v>Connect Rede</x:v>
      </x:c>
      <x:c r="Q359" s="34" t="n">
        <x:v>2</x:v>
      </x:c>
      <x:c r="R359" s="36" t="n">
        <x:v>79.9</x:v>
      </x:c>
      <x:c r="S359" s="38" t="n">
        <x:v>0.03</x:v>
      </x:c>
      <x:c r="T359" s="36" t="n">
        <x:v>77.5</x:v>
      </x:c>
      <x:c r="U359" s="36" t="n">
        <x:v>159.8</x:v>
      </x:c>
      <x:c r="V359" s="36" t="n">
        <x:v>4.8</x:v>
      </x:c>
      <x:c r="W359" s="36" t="n">
        <x:v>155</x:v>
      </x:c>
      <x:c r="X359" s="36" t="n">
        <x:v>74</x:v>
      </x:c>
      <x:c r="Y359" s="36" t="n">
        <x:v>81</x:v>
      </x:c>
      <x:c r="Z359" s="38" t="n">
        <x:v>0.5226</x:v>
      </x:c>
      <x:c r="AA359" s="36" t="n">
        <x:v>43.36</x:v>
      </x:c>
      <x:c r="AB359" s="34" t="n">
        <x:v>7</x:v>
      </x:c>
      <x:c r="AC359" t="str"/>
    </x:row>
    <x:row r="360">
      <x:c r="A360" s="34" t="n">
        <x:v>359</x:v>
      </x:c>
      <x:c r="B360" s="34" t="n">
        <x:v>201</x:v>
      </x:c>
      <x:c r="C360" s="32" t="n">
        <x:v>46073</x:v>
      </x:c>
      <x:c r="D360" t="str">
        <x:v>2026-02</x:v>
      </x:c>
      <x:c r="E360" s="34" t="n">
        <x:v>2</x:v>
      </x:c>
      <x:c r="F360" t="str">
        <x:v>Beatriz Costa</x:v>
      </x:c>
      <x:c r="G360" t="str">
        <x:v>SP</x:v>
      </x:c>
      <x:c r="H360" t="str">
        <x:v>Votuporanga</x:v>
      </x:c>
      <x:c r="I360" s="34" t="n">
        <x:v>24</x:v>
      </x:c>
      <x:c r="J360" t="str">
        <x:v>ENTREGUE</x:v>
      </x:c>
      <x:c r="K360" t="str">
        <x:v>WhatsApp</x:v>
      </x:c>
      <x:c r="L360" t="str">
        <x:v>Pix</x:v>
      </x:c>
      <x:c r="M360" s="34" t="n">
        <x:v>18</x:v>
      </x:c>
      <x:c r="N360" t="str">
        <x:v>Cooler para Processador</x:v>
      </x:c>
      <x:c r="O360" t="str">
        <x:v>Componentes</x:v>
      </x:c>
      <x:c r="P360" t="str">
        <x:v>Mega Componentes</x:v>
      </x:c>
      <x:c r="Q360" s="34" t="n">
        <x:v>2</x:v>
      </x:c>
      <x:c r="R360" s="36" t="n">
        <x:v>99.9</x:v>
      </x:c>
      <x:c r="S360" s="38" t="n">
        <x:v>0.05</x:v>
      </x:c>
      <x:c r="T360" s="36" t="n">
        <x:v>94.91</x:v>
      </x:c>
      <x:c r="U360" s="36" t="n">
        <x:v>199.8</x:v>
      </x:c>
      <x:c r="V360" s="36" t="n">
        <x:v>9.98</x:v>
      </x:c>
      <x:c r="W360" s="36" t="n">
        <x:v>189.82</x:v>
      </x:c>
      <x:c r="X360" s="36" t="n">
        <x:v>92</x:v>
      </x:c>
      <x:c r="Y360" s="36" t="n">
        <x:v>97.82</x:v>
      </x:c>
      <x:c r="Z360" s="38" t="n">
        <x:v>0.5153</x:v>
      </x:c>
      <x:c r="AA360" s="36" t="n">
        <x:v>43.36</x:v>
      </x:c>
      <x:c r="AB360" s="34" t="n">
        <x:v>7</x:v>
      </x:c>
      <x:c r="AC360" t="str"/>
    </x:row>
    <x:row r="361">
      <x:c r="A361" s="34" t="n">
        <x:v>360</x:v>
      </x:c>
      <x:c r="B361" s="34" t="n">
        <x:v>201</x:v>
      </x:c>
      <x:c r="C361" s="32" t="n">
        <x:v>46073</x:v>
      </x:c>
      <x:c r="D361" t="str">
        <x:v>2026-02</x:v>
      </x:c>
      <x:c r="E361" s="34" t="n">
        <x:v>2</x:v>
      </x:c>
      <x:c r="F361" t="str">
        <x:v>Beatriz Costa</x:v>
      </x:c>
      <x:c r="G361" t="str">
        <x:v>SP</x:v>
      </x:c>
      <x:c r="H361" t="str">
        <x:v>Votuporanga</x:v>
      </x:c>
      <x:c r="I361" s="34" t="n">
        <x:v>24</x:v>
      </x:c>
      <x:c r="J361" t="str">
        <x:v>ENTREGUE</x:v>
      </x:c>
      <x:c r="K361" t="str">
        <x:v>WhatsApp</x:v>
      </x:c>
      <x:c r="L361" t="str">
        <x:v>Pix</x:v>
      </x:c>
      <x:c r="M361" s="34" t="n">
        <x:v>8</x:v>
      </x:c>
      <x:c r="N361" t="str">
        <x:v>Suporte Articulado para Monitor</x:v>
      </x:c>
      <x:c r="O361" t="str">
        <x:v>Acessórios</x:v>
      </x:c>
      <x:c r="P361" t="str">
        <x:v>OfficeTech Supply</x:v>
      </x:c>
      <x:c r="Q361" s="34" t="n">
        <x:v>1</x:v>
      </x:c>
      <x:c r="R361" s="36" t="n">
        <x:v>149.9</x:v>
      </x:c>
      <x:c r="S361" s="38" t="n">
        <x:v>0.1</x:v>
      </x:c>
      <x:c r="T361" s="36" t="n">
        <x:v>134.91</x:v>
      </x:c>
      <x:c r="U361" s="36" t="n">
        <x:v>149.9</x:v>
      </x:c>
      <x:c r="V361" s="36" t="n">
        <x:v>14.99</x:v>
      </x:c>
      <x:c r="W361" s="36" t="n">
        <x:v>134.91</x:v>
      </x:c>
      <x:c r="X361" s="36" t="n">
        <x:v>73</x:v>
      </x:c>
      <x:c r="Y361" s="36" t="n">
        <x:v>61.91</x:v>
      </x:c>
      <x:c r="Z361" s="38" t="n">
        <x:v>0.4589</x:v>
      </x:c>
      <x:c r="AA361" s="36" t="n">
        <x:v>43.36</x:v>
      </x:c>
      <x:c r="AB361" s="34" t="n">
        <x:v>7</x:v>
      </x:c>
      <x:c r="AC361" t="str"/>
    </x:row>
    <x:row r="362">
      <x:c r="A362" s="34" t="n">
        <x:v>361</x:v>
      </x:c>
      <x:c r="B362" s="34" t="n">
        <x:v>202</x:v>
      </x:c>
      <x:c r="C362" s="32" t="n">
        <x:v>46108</x:v>
      </x:c>
      <x:c r="D362" t="str">
        <x:v>2026-03</x:v>
      </x:c>
      <x:c r="E362" s="34" t="n">
        <x:v>34</x:v>
      </x:c>
      <x:c r="F362" t="str">
        <x:v>Vitor Martins</x:v>
      </x:c>
      <x:c r="G362" t="str">
        <x:v>RJ</x:v>
      </x:c>
      <x:c r="H362" t="str">
        <x:v>Rio de Janeiro</x:v>
      </x:c>
      <x:c r="I362" s="34" t="n">
        <x:v>60</x:v>
      </x:c>
      <x:c r="J362" t="str">
        <x:v>ENTREGUE</x:v>
      </x:c>
      <x:c r="K362" t="str">
        <x:v>Site</x:v>
      </x:c>
      <x:c r="L362" t="str">
        <x:v>Cartão débito</x:v>
      </x:c>
      <x:c r="M362" s="34" t="n">
        <x:v>16</x:v>
      </x:c>
      <x:c r="N362" t="str">
        <x:v>Placa de Vídeo GTX 1650</x:v>
      </x:c>
      <x:c r="O362" t="str">
        <x:v>Componentes</x:v>
      </x:c>
      <x:c r="P362" t="str">
        <x:v>FastHardware</x:v>
      </x:c>
      <x:c r="Q362" s="34" t="n">
        <x:v>1</x:v>
      </x:c>
      <x:c r="R362" s="36" t="n">
        <x:v>949.9</x:v>
      </x:c>
      <x:c r="S362" s="38" t="n">
        <x:v>0.12</x:v>
      </x:c>
      <x:c r="T362" s="36" t="n">
        <x:v>835.91</x:v>
      </x:c>
      <x:c r="U362" s="36" t="n">
        <x:v>949.9</x:v>
      </x:c>
      <x:c r="V362" s="36" t="n">
        <x:v>113.99</x:v>
      </x:c>
      <x:c r="W362" s="36" t="n">
        <x:v>835.91</x:v>
      </x:c>
      <x:c r="X362" s="36" t="n">
        <x:v>735</x:v>
      </x:c>
      <x:c r="Y362" s="36" t="n">
        <x:v>100.91</x:v>
      </x:c>
      <x:c r="Z362" s="38" t="n">
        <x:v>0.1207</x:v>
      </x:c>
      <x:c r="AA362" s="36" t="n">
        <x:v>39.35</x:v>
      </x:c>
      <x:c r="AB362" s="34" t="n">
        <x:v>4</x:v>
      </x:c>
      <x:c r="AC362" t="str"/>
    </x:row>
    <x:row r="363">
      <x:c r="A363" s="34" t="n">
        <x:v>362</x:v>
      </x:c>
      <x:c r="B363" s="34" t="n">
        <x:v>202</x:v>
      </x:c>
      <x:c r="C363" s="32" t="n">
        <x:v>46108</x:v>
      </x:c>
      <x:c r="D363" t="str">
        <x:v>2026-03</x:v>
      </x:c>
      <x:c r="E363" s="34" t="n">
        <x:v>34</x:v>
      </x:c>
      <x:c r="F363" t="str">
        <x:v>Vitor Martins</x:v>
      </x:c>
      <x:c r="G363" t="str">
        <x:v>RJ</x:v>
      </x:c>
      <x:c r="H363" t="str">
        <x:v>Rio de Janeiro</x:v>
      </x:c>
      <x:c r="I363" s="34" t="n">
        <x:v>60</x:v>
      </x:c>
      <x:c r="J363" t="str">
        <x:v>ENTREGUE</x:v>
      </x:c>
      <x:c r="K363" t="str">
        <x:v>Site</x:v>
      </x:c>
      <x:c r="L363" t="str">
        <x:v>Cartão débito</x:v>
      </x:c>
      <x:c r="M363" s="34" t="n">
        <x:v>2</x:v>
      </x:c>
      <x:c r="N363" t="str">
        <x:v>Teclado Membrana ABNT2</x:v>
      </x:c>
      <x:c r="O363" t="str">
        <x:v>Periféricos</x:v>
      </x:c>
      <x:c r="P363" t="str">
        <x:v>TechDistribuidora Brasil</x:v>
      </x:c>
      <x:c r="Q363" s="34" t="n">
        <x:v>1</x:v>
      </x:c>
      <x:c r="R363" s="36" t="n">
        <x:v>89.9</x:v>
      </x:c>
      <x:c r="S363" s="38" t="n">
        <x:v>0.03</x:v>
      </x:c>
      <x:c r="T363" s="36" t="n">
        <x:v>87.2</x:v>
      </x:c>
      <x:c r="U363" s="36" t="n">
        <x:v>89.9</x:v>
      </x:c>
      <x:c r="V363" s="36" t="n">
        <x:v>2.7</x:v>
      </x:c>
      <x:c r="W363" s="36" t="n">
        <x:v>87.2</x:v>
      </x:c>
      <x:c r="X363" s="36" t="n">
        <x:v>48</x:v>
      </x:c>
      <x:c r="Y363" s="36" t="n">
        <x:v>39.2</x:v>
      </x:c>
      <x:c r="Z363" s="38" t="n">
        <x:v>0.4495</x:v>
      </x:c>
      <x:c r="AA363" s="36" t="n">
        <x:v>39.35</x:v>
      </x:c>
      <x:c r="AB363" s="34" t="n">
        <x:v>4</x:v>
      </x:c>
      <x:c r="AC363" t="str"/>
    </x:row>
    <x:row r="364">
      <x:c r="A364" s="34" t="n">
        <x:v>363</x:v>
      </x:c>
      <x:c r="B364" s="34" t="n">
        <x:v>203</x:v>
      </x:c>
      <x:c r="C364" s="32" t="n">
        <x:v>46097</x:v>
      </x:c>
      <x:c r="D364" t="str">
        <x:v>2026-03</x:v>
      </x:c>
      <x:c r="E364" s="34" t="n">
        <x:v>55</x:v>
      </x:c>
      <x:c r="F364" t="str">
        <x:v>Henrique Araujo</x:v>
      </x:c>
      <x:c r="G364" t="str">
        <x:v>GO</x:v>
      </x:c>
      <x:c r="H364" t="str">
        <x:v>Anápolis</x:v>
      </x:c>
      <x:c r="I364" s="34" t="n">
        <x:v>26</x:v>
      </x:c>
      <x:c r="J364" t="str">
        <x:v>ENVIADO</x:v>
      </x:c>
      <x:c r="K364" t="str">
        <x:v>Instagram</x:v>
      </x:c>
      <x:c r="L364" t="str">
        <x:v>Pix</x:v>
      </x:c>
      <x:c r="M364" s="34" t="n">
        <x:v>9</x:v>
      </x:c>
      <x:c r="N364" t="str">
        <x:v>SSD 240GB SATA</x:v>
      </x:c>
      <x:c r="O364" t="str">
        <x:v>Armazenamento</x:v>
      </x:c>
      <x:c r="P364" t="str">
        <x:v>Mega Componentes</x:v>
      </x:c>
      <x:c r="Q364" s="34" t="n">
        <x:v>1</x:v>
      </x:c>
      <x:c r="R364" s="36" t="n">
        <x:v>169.9</x:v>
      </x:c>
      <x:c r="S364" s="38" t="n">
        <x:v>0.03</x:v>
      </x:c>
      <x:c r="T364" s="36" t="n">
        <x:v>164.8</x:v>
      </x:c>
      <x:c r="U364" s="36" t="n">
        <x:v>169.9</x:v>
      </x:c>
      <x:c r="V364" s="36" t="n">
        <x:v>5.1</x:v>
      </x:c>
      <x:c r="W364" s="36" t="n">
        <x:v>164.8</x:v>
      </x:c>
      <x:c r="X364" s="36" t="n">
        <x:v>98</x:v>
      </x:c>
      <x:c r="Y364" s="36" t="n">
        <x:v>66.8</x:v>
      </x:c>
      <x:c r="Z364" s="38" t="n">
        <x:v>0.4053</x:v>
      </x:c>
      <x:c r="AA364" s="36" t="n">
        <x:v>20.53</x:v>
      </x:c>
      <x:c r="AB364" s="34" t="n">
        <x:v>2</x:v>
      </x:c>
      <x:c r="AC364" t="str"/>
    </x:row>
    <x:row r="365">
      <x:c r="A365" s="34" t="n">
        <x:v>364</x:v>
      </x:c>
      <x:c r="B365" s="34" t="n">
        <x:v>204</x:v>
      </x:c>
      <x:c r="C365" s="32" t="n">
        <x:v>46175</x:v>
      </x:c>
      <x:c r="D365" t="str">
        <x:v>2026-06</x:v>
      </x:c>
      <x:c r="E365" s="34" t="n">
        <x:v>53</x:v>
      </x:c>
      <x:c r="F365" t="str">
        <x:v>Carla Almeida</x:v>
      </x:c>
      <x:c r="G365" t="str">
        <x:v>SP</x:v>
      </x:c>
      <x:c r="H365" t="str">
        <x:v>Ribeirão Preto</x:v>
      </x:c>
      <x:c r="I365" s="34" t="n">
        <x:v>54</x:v>
      </x:c>
      <x:c r="J365" t="str">
        <x:v>ENVIADO</x:v>
      </x:c>
      <x:c r="K365" t="str">
        <x:v>WhatsApp</x:v>
      </x:c>
      <x:c r="L365" t="str">
        <x:v>Pix</x:v>
      </x:c>
      <x:c r="M365" s="34" t="n">
        <x:v>8</x:v>
      </x:c>
      <x:c r="N365" t="str">
        <x:v>Suporte Articulado para Monitor</x:v>
      </x:c>
      <x:c r="O365" t="str">
        <x:v>Acessórios</x:v>
      </x:c>
      <x:c r="P365" t="str">
        <x:v>OfficeTech Supply</x:v>
      </x:c>
      <x:c r="Q365" s="34" t="n">
        <x:v>2</x:v>
      </x:c>
      <x:c r="R365" s="36" t="n">
        <x:v>149.9</x:v>
      </x:c>
      <x:c r="S365" s="38" t="n">
        <x:v>0.05</x:v>
      </x:c>
      <x:c r="T365" s="36" t="n">
        <x:v>142.41</x:v>
      </x:c>
      <x:c r="U365" s="36" t="n">
        <x:v>299.8</x:v>
      </x:c>
      <x:c r="V365" s="36" t="n">
        <x:v>14.98</x:v>
      </x:c>
      <x:c r="W365" s="36" t="n">
        <x:v>284.82</x:v>
      </x:c>
      <x:c r="X365" s="36" t="n">
        <x:v>146</x:v>
      </x:c>
      <x:c r="Y365" s="36" t="n">
        <x:v>138.82</x:v>
      </x:c>
      <x:c r="Z365" s="38" t="n">
        <x:v>0.4874</x:v>
      </x:c>
      <x:c r="AA365" s="36" t="n">
        <x:v>42.52</x:v>
      </x:c>
      <x:c r="AB365" s="34" t="n">
        <x:v>4</x:v>
      </x:c>
      <x:c r="AC365" t="str"/>
    </x:row>
    <x:row r="366">
      <x:c r="A366" s="34" t="n">
        <x:v>365</x:v>
      </x:c>
      <x:c r="B366" s="34" t="n">
        <x:v>205</x:v>
      </x:c>
      <x:c r="C366" s="32" t="n">
        <x:v>46112</x:v>
      </x:c>
      <x:c r="D366" t="str">
        <x:v>2026-03</x:v>
      </x:c>
      <x:c r="E366" s="34" t="n">
        <x:v>27</x:v>
      </x:c>
      <x:c r="F366" t="str">
        <x:v>Rodrigo Almeida</x:v>
      </x:c>
      <x:c r="G366" t="str">
        <x:v>SP</x:v>
      </x:c>
      <x:c r="H366" t="str">
        <x:v>Ribeirão Preto</x:v>
      </x:c>
      <x:c r="I366" s="34" t="n">
        <x:v>64</x:v>
      </x:c>
      <x:c r="J366" t="str">
        <x:v>EM PROCESSAMENTO</x:v>
      </x:c>
      <x:c r="K366" t="str">
        <x:v>Instagram</x:v>
      </x:c>
      <x:c r="L366" t="str">
        <x:v>Boleto</x:v>
      </x:c>
      <x:c r="M366" s="34" t="n">
        <x:v>10</x:v>
      </x:c>
      <x:c r="N366" t="str">
        <x:v>SSD 480GB SATA</x:v>
      </x:c>
      <x:c r="O366" t="str">
        <x:v>Armazenamento</x:v>
      </x:c>
      <x:c r="P366" t="str">
        <x:v>Mega Componentes</x:v>
      </x:c>
      <x:c r="Q366" s="34" t="n">
        <x:v>1</x:v>
      </x:c>
      <x:c r="R366" s="36" t="n">
        <x:v>259.9</x:v>
      </x:c>
      <x:c r="S366" s="38" t="n">
        <x:v>0.08</x:v>
      </x:c>
      <x:c r="T366" s="36" t="n">
        <x:v>239.11</x:v>
      </x:c>
      <x:c r="U366" s="36" t="n">
        <x:v>259.9</x:v>
      </x:c>
      <x:c r="V366" s="36" t="n">
        <x:v>20.79</x:v>
      </x:c>
      <x:c r="W366" s="36" t="n">
        <x:v>239.11</x:v>
      </x:c>
      <x:c r="X366" s="36" t="n">
        <x:v>158</x:v>
      </x:c>
      <x:c r="Y366" s="36" t="n">
        <x:v>81.11</x:v>
      </x:c>
      <x:c r="Z366" s="38" t="n">
        <x:v>0.3392</x:v>
      </x:c>
      <x:c r="AA366" s="36" t="n">
        <x:v>20.91</x:v>
      </x:c>
      <x:c r="AB366" s="34"/>
      <x:c r="AC366" t="str"/>
    </x:row>
    <x:row r="367">
      <x:c r="A367" s="34" t="n">
        <x:v>366</x:v>
      </x:c>
      <x:c r="B367" s="34" t="n">
        <x:v>206</x:v>
      </x:c>
      <x:c r="C367" s="32" t="n">
        <x:v>46142</x:v>
      </x:c>
      <x:c r="D367" t="str">
        <x:v>2026-04</x:v>
      </x:c>
      <x:c r="E367" s="34" t="n">
        <x:v>42</x:v>
      </x:c>
      <x:c r="F367" t="str">
        <x:v>Diego Rodrigues</x:v>
      </x:c>
      <x:c r="G367" t="str">
        <x:v>GO</x:v>
      </x:c>
      <x:c r="H367" t="str">
        <x:v>Anápolis</x:v>
      </x:c>
      <x:c r="I367" s="34" t="n">
        <x:v>32</x:v>
      </x:c>
      <x:c r="J367" t="str">
        <x:v>ENTREGUE</x:v>
      </x:c>
      <x:c r="K367" t="str">
        <x:v>WhatsApp</x:v>
      </x:c>
      <x:c r="L367" t="str">
        <x:v>Cartão crédito</x:v>
      </x:c>
      <x:c r="M367" s="34" t="n">
        <x:v>28</x:v>
      </x:c>
      <x:c r="N367" t="str">
        <x:v>Repetidor Wi-Fi</x:v>
      </x:c>
      <x:c r="O367" t="str">
        <x:v>Rede</x:v>
      </x:c>
      <x:c r="P367" t="str">
        <x:v>Connect Rede</x:v>
      </x:c>
      <x:c r="Q367" s="34" t="n">
        <x:v>1</x:v>
      </x:c>
      <x:c r="R367" s="36" t="n">
        <x:v>139.9</x:v>
      </x:c>
      <x:c r="S367" s="38" t="n">
        <x:v>0.05</x:v>
      </x:c>
      <x:c r="T367" s="36" t="n">
        <x:v>132.91</x:v>
      </x:c>
      <x:c r="U367" s="36" t="n">
        <x:v>139.9</x:v>
      </x:c>
      <x:c r="V367" s="36" t="n">
        <x:v>6.99</x:v>
      </x:c>
      <x:c r="W367" s="36" t="n">
        <x:v>132.91</x:v>
      </x:c>
      <x:c r="X367" s="36" t="n">
        <x:v>69</x:v>
      </x:c>
      <x:c r="Y367" s="36" t="n">
        <x:v>63.91</x:v>
      </x:c>
      <x:c r="Z367" s="38" t="n">
        <x:v>0.4809</x:v>
      </x:c>
      <x:c r="AA367" s="36" t="n">
        <x:v>15.2</x:v>
      </x:c>
      <x:c r="AB367" s="34" t="n">
        <x:v>3</x:v>
      </x:c>
      <x:c r="AC367" t="str"/>
    </x:row>
    <x:row r="368">
      <x:c r="A368" s="34" t="n">
        <x:v>367</x:v>
      </x:c>
      <x:c r="B368" s="34" t="n">
        <x:v>206</x:v>
      </x:c>
      <x:c r="C368" s="32" t="n">
        <x:v>46142</x:v>
      </x:c>
      <x:c r="D368" t="str">
        <x:v>2026-04</x:v>
      </x:c>
      <x:c r="E368" s="34" t="n">
        <x:v>42</x:v>
      </x:c>
      <x:c r="F368" t="str">
        <x:v>Diego Rodrigues</x:v>
      </x:c>
      <x:c r="G368" t="str">
        <x:v>GO</x:v>
      </x:c>
      <x:c r="H368" t="str">
        <x:v>Anápolis</x:v>
      </x:c>
      <x:c r="I368" s="34" t="n">
        <x:v>32</x:v>
      </x:c>
      <x:c r="J368" t="str">
        <x:v>ENTREGUE</x:v>
      </x:c>
      <x:c r="K368" t="str">
        <x:v>WhatsApp</x:v>
      </x:c>
      <x:c r="L368" t="str">
        <x:v>Cartão crédito</x:v>
      </x:c>
      <x:c r="M368" s="34" t="n">
        <x:v>6</x:v>
      </x:c>
      <x:c r="N368" t="str">
        <x:v>Cabo HDMI 2m</x:v>
      </x:c>
      <x:c r="O368" t="str">
        <x:v>Acessórios</x:v>
      </x:c>
      <x:c r="P368" t="str">
        <x:v>Prime Eletrônicos</x:v>
      </x:c>
      <x:c r="Q368" s="34" t="n">
        <x:v>1</x:v>
      </x:c>
      <x:c r="R368" s="36" t="n">
        <x:v>29.9</x:v>
      </x:c>
      <x:c r="S368" s="38" t="n">
        <x:v>0.05</x:v>
      </x:c>
      <x:c r="T368" s="36" t="n">
        <x:v>28.4</x:v>
      </x:c>
      <x:c r="U368" s="36" t="n">
        <x:v>29.9</x:v>
      </x:c>
      <x:c r="V368" s="36" t="n">
        <x:v>1.5</x:v>
      </x:c>
      <x:c r="W368" s="36" t="n">
        <x:v>28.4</x:v>
      </x:c>
      <x:c r="X368" s="36" t="n">
        <x:v>10</x:v>
      </x:c>
      <x:c r="Y368" s="36" t="n">
        <x:v>18.4</x:v>
      </x:c>
      <x:c r="Z368" s="38" t="n">
        <x:v>0.6479</x:v>
      </x:c>
      <x:c r="AA368" s="36" t="n">
        <x:v>15.2</x:v>
      </x:c>
      <x:c r="AB368" s="34" t="n">
        <x:v>3</x:v>
      </x:c>
      <x:c r="AC368" t="str"/>
    </x:row>
    <x:row r="369">
      <x:c r="A369" s="34" t="n">
        <x:v>368</x:v>
      </x:c>
      <x:c r="B369" s="34" t="n">
        <x:v>207</x:v>
      </x:c>
      <x:c r="C369" s="32" t="n">
        <x:v>46175</x:v>
      </x:c>
      <x:c r="D369" t="str">
        <x:v>2026-06</x:v>
      </x:c>
      <x:c r="E369" s="34" t="n">
        <x:v>22</x:v>
      </x:c>
      <x:c r="F369" t="str">
        <x:v>Pedro Martins</x:v>
      </x:c>
      <x:c r="G369" t="str">
        <x:v>SP</x:v>
      </x:c>
      <x:c r="H369" t="str">
        <x:v>São José do Rio Preto</x:v>
      </x:c>
      <x:c r="I369" s="34" t="n">
        <x:v>24</x:v>
      </x:c>
      <x:c r="J369" t="str">
        <x:v>EM PROCESSAMENTO</x:v>
      </x:c>
      <x:c r="K369" t="str">
        <x:v>WhatsApp</x:v>
      </x:c>
      <x:c r="L369" t="str">
        <x:v>Cartão débito</x:v>
      </x:c>
      <x:c r="M369" s="34" t="n">
        <x:v>13</x:v>
      </x:c>
      <x:c r="N369" t="str">
        <x:v>Memória RAM 8GB DDR4</x:v>
      </x:c>
      <x:c r="O369" t="str">
        <x:v>Componentes</x:v>
      </x:c>
      <x:c r="P369" t="str">
        <x:v>Mega Componentes</x:v>
      </x:c>
      <x:c r="Q369" s="34" t="n">
        <x:v>1</x:v>
      </x:c>
      <x:c r="R369" s="36" t="n">
        <x:v>179.9</x:v>
      </x:c>
      <x:c r="S369" s="38" t="n">
        <x:v>0.08</x:v>
      </x:c>
      <x:c r="T369" s="36" t="n">
        <x:v>165.51</x:v>
      </x:c>
      <x:c r="U369" s="36" t="n">
        <x:v>179.9</x:v>
      </x:c>
      <x:c r="V369" s="36" t="n">
        <x:v>14.39</x:v>
      </x:c>
      <x:c r="W369" s="36" t="n">
        <x:v>165.51</x:v>
      </x:c>
      <x:c r="X369" s="36" t="n">
        <x:v>107</x:v>
      </x:c>
      <x:c r="Y369" s="36" t="n">
        <x:v>58.51</x:v>
      </x:c>
      <x:c r="Z369" s="38" t="n">
        <x:v>0.3535</x:v>
      </x:c>
      <x:c r="AA369" s="36" t="n">
        <x:v>27.67</x:v>
      </x:c>
      <x:c r="AB369" s="34"/>
      <x:c r="AC369" t="str"/>
    </x:row>
    <x:row r="370">
      <x:c r="A370" s="34" t="n">
        <x:v>369</x:v>
      </x:c>
      <x:c r="B370" s="34" t="n">
        <x:v>208</x:v>
      </x:c>
      <x:c r="C370" s="32" t="n">
        <x:v>46134</x:v>
      </x:c>
      <x:c r="D370" t="str">
        <x:v>2026-04</x:v>
      </x:c>
      <x:c r="E370" s="34" t="n">
        <x:v>27</x:v>
      </x:c>
      <x:c r="F370" t="str">
        <x:v>Rodrigo Almeida</x:v>
      </x:c>
      <x:c r="G370" t="str">
        <x:v>SP</x:v>
      </x:c>
      <x:c r="H370" t="str">
        <x:v>Ribeirão Preto</x:v>
      </x:c>
      <x:c r="I370" s="34" t="n">
        <x:v>64</x:v>
      </x:c>
      <x:c r="J370" t="str">
        <x:v>ENTREGUE</x:v>
      </x:c>
      <x:c r="K370" t="str">
        <x:v>Marketplace</x:v>
      </x:c>
      <x:c r="L370" t="str">
        <x:v>Cartão crédito</x:v>
      </x:c>
      <x:c r="M370" s="34" t="n">
        <x:v>13</x:v>
      </x:c>
      <x:c r="N370" t="str">
        <x:v>Memória RAM 8GB DDR4</x:v>
      </x:c>
      <x:c r="O370" t="str">
        <x:v>Componentes</x:v>
      </x:c>
      <x:c r="P370" t="str">
        <x:v>Mega Componentes</x:v>
      </x:c>
      <x:c r="Q370" s="34" t="n">
        <x:v>2</x:v>
      </x:c>
      <x:c r="R370" s="36" t="n">
        <x:v>179.9</x:v>
      </x:c>
      <x:c r="S370" s="38" t="n">
        <x:v>0</x:v>
      </x:c>
      <x:c r="T370" s="36" t="n">
        <x:v>179.9</x:v>
      </x:c>
      <x:c r="U370" s="36" t="n">
        <x:v>359.8</x:v>
      </x:c>
      <x:c r="V370" s="36" t="n">
        <x:v>0</x:v>
      </x:c>
      <x:c r="W370" s="36" t="n">
        <x:v>359.8</x:v>
      </x:c>
      <x:c r="X370" s="36" t="n">
        <x:v>214</x:v>
      </x:c>
      <x:c r="Y370" s="36" t="n">
        <x:v>145.8</x:v>
      </x:c>
      <x:c r="Z370" s="38" t="n">
        <x:v>0.4052</x:v>
      </x:c>
      <x:c r="AA370" s="36" t="n">
        <x:v>36.39</x:v>
      </x:c>
      <x:c r="AB370" s="34" t="n">
        <x:v>3</x:v>
      </x:c>
      <x:c r="AC370" t="str"/>
    </x:row>
    <x:row r="371">
      <x:c r="A371" s="34" t="n">
        <x:v>370</x:v>
      </x:c>
      <x:c r="B371" s="34" t="n">
        <x:v>209</x:v>
      </x:c>
      <x:c r="C371" s="32" t="n">
        <x:v>46082</x:v>
      </x:c>
      <x:c r="D371" t="str">
        <x:v>2026-03</x:v>
      </x:c>
      <x:c r="E371" s="34" t="n">
        <x:v>60</x:v>
      </x:c>
      <x:c r="F371" t="str">
        <x:v>Mariana Araujo</x:v>
      </x:c>
      <x:c r="G371" t="str">
        <x:v>PR</x:v>
      </x:c>
      <x:c r="H371" t="str">
        <x:v>Curitiba</x:v>
      </x:c>
      <x:c r="I371" s="34" t="n">
        <x:v>19</x:v>
      </x:c>
      <x:c r="J371" t="str">
        <x:v>ENTREGUE</x:v>
      </x:c>
      <x:c r="K371" t="str">
        <x:v>WhatsApp</x:v>
      </x:c>
      <x:c r="L371" t="str">
        <x:v>Pix</x:v>
      </x:c>
      <x:c r="M371" s="34" t="n">
        <x:v>15</x:v>
      </x:c>
      <x:c r="N371" t="str">
        <x:v>Fonte 500W 80 Plus</x:v>
      </x:c>
      <x:c r="O371" t="str">
        <x:v>Componentes</x:v>
      </x:c>
      <x:c r="P371" t="str">
        <x:v>FastHardware</x:v>
      </x:c>
      <x:c r="Q371" s="34" t="n">
        <x:v>2</x:v>
      </x:c>
      <x:c r="R371" s="36" t="n">
        <x:v>289.9</x:v>
      </x:c>
      <x:c r="S371" s="38" t="n">
        <x:v>0.03</x:v>
      </x:c>
      <x:c r="T371" s="36" t="n">
        <x:v>281.2</x:v>
      </x:c>
      <x:c r="U371" s="36" t="n">
        <x:v>579.8</x:v>
      </x:c>
      <x:c r="V371" s="36" t="n">
        <x:v>17.4</x:v>
      </x:c>
      <x:c r="W371" s="36" t="n">
        <x:v>562.4</x:v>
      </x:c>
      <x:c r="X371" s="36" t="n">
        <x:v>364</x:v>
      </x:c>
      <x:c r="Y371" s="36" t="n">
        <x:v>198.4</x:v>
      </x:c>
      <x:c r="Z371" s="38" t="n">
        <x:v>0.3528</x:v>
      </x:c>
      <x:c r="AA371" s="36" t="n">
        <x:v>40.96</x:v>
      </x:c>
      <x:c r="AB371" s="34" t="n">
        <x:v>1</x:v>
      </x:c>
      <x:c r="AC371" t="str"/>
    </x:row>
    <x:row r="372">
      <x:c r="A372" s="34" t="n">
        <x:v>371</x:v>
      </x:c>
      <x:c r="B372" s="34" t="n">
        <x:v>209</x:v>
      </x:c>
      <x:c r="C372" s="32" t="n">
        <x:v>46082</x:v>
      </x:c>
      <x:c r="D372" t="str">
        <x:v>2026-03</x:v>
      </x:c>
      <x:c r="E372" s="34" t="n">
        <x:v>60</x:v>
      </x:c>
      <x:c r="F372" t="str">
        <x:v>Mariana Araujo</x:v>
      </x:c>
      <x:c r="G372" t="str">
        <x:v>PR</x:v>
      </x:c>
      <x:c r="H372" t="str">
        <x:v>Curitiba</x:v>
      </x:c>
      <x:c r="I372" s="34" t="n">
        <x:v>19</x:v>
      </x:c>
      <x:c r="J372" t="str">
        <x:v>ENTREGUE</x:v>
      </x:c>
      <x:c r="K372" t="str">
        <x:v>WhatsApp</x:v>
      </x:c>
      <x:c r="L372" t="str">
        <x:v>Pix</x:v>
      </x:c>
      <x:c r="M372" s="34" t="n">
        <x:v>2</x:v>
      </x:c>
      <x:c r="N372" t="str">
        <x:v>Teclado Membrana ABNT2</x:v>
      </x:c>
      <x:c r="O372" t="str">
        <x:v>Periféricos</x:v>
      </x:c>
      <x:c r="P372" t="str">
        <x:v>TechDistribuidora Brasil</x:v>
      </x:c>
      <x:c r="Q372" s="34" t="n">
        <x:v>1</x:v>
      </x:c>
      <x:c r="R372" s="36" t="n">
        <x:v>89.9</x:v>
      </x:c>
      <x:c r="S372" s="38" t="n">
        <x:v>0.03</x:v>
      </x:c>
      <x:c r="T372" s="36" t="n">
        <x:v>87.2</x:v>
      </x:c>
      <x:c r="U372" s="36" t="n">
        <x:v>89.9</x:v>
      </x:c>
      <x:c r="V372" s="36" t="n">
        <x:v>2.7</x:v>
      </x:c>
      <x:c r="W372" s="36" t="n">
        <x:v>87.2</x:v>
      </x:c>
      <x:c r="X372" s="36" t="n">
        <x:v>48</x:v>
      </x:c>
      <x:c r="Y372" s="36" t="n">
        <x:v>39.2</x:v>
      </x:c>
      <x:c r="Z372" s="38" t="n">
        <x:v>0.4495</x:v>
      </x:c>
      <x:c r="AA372" s="36" t="n">
        <x:v>40.96</x:v>
      </x:c>
      <x:c r="AB372" s="34" t="n">
        <x:v>1</x:v>
      </x:c>
      <x:c r="AC372" t="str"/>
    </x:row>
    <x:row r="373">
      <x:c r="A373" s="34" t="n">
        <x:v>372</x:v>
      </x:c>
      <x:c r="B373" s="34" t="n">
        <x:v>210</x:v>
      </x:c>
      <x:c r="C373" s="32" t="n">
        <x:v>46154</x:v>
      </x:c>
      <x:c r="D373" t="str">
        <x:v>2026-05</x:v>
      </x:c>
      <x:c r="E373" s="34" t="n">
        <x:v>50</x:v>
      </x:c>
      <x:c r="F373" t="str">
        <x:v>Rodrigo Lima</x:v>
      </x:c>
      <x:c r="G373" t="str">
        <x:v>MG</x:v>
      </x:c>
      <x:c r="H373" t="str">
        <x:v>Uberlândia</x:v>
      </x:c>
      <x:c r="I373" s="34" t="n">
        <x:v>47</x:v>
      </x:c>
      <x:c r="J373" t="str">
        <x:v>ENTREGUE</x:v>
      </x:c>
      <x:c r="K373" t="str">
        <x:v>Marketplace</x:v>
      </x:c>
      <x:c r="L373" t="str">
        <x:v>Boleto</x:v>
      </x:c>
      <x:c r="M373" s="34" t="n">
        <x:v>3</x:v>
      </x:c>
      <x:c r="N373" t="str">
        <x:v>Headset Gamer P2</x:v>
      </x:c>
      <x:c r="O373" t="str">
        <x:v>Periféricos</x:v>
      </x:c>
      <x:c r="P373" t="str">
        <x:v>FastHardware</x:v>
      </x:c>
      <x:c r="Q373" s="34" t="n">
        <x:v>2</x:v>
      </x:c>
      <x:c r="R373" s="36" t="n">
        <x:v>159.9</x:v>
      </x:c>
      <x:c r="S373" s="38" t="n">
        <x:v>0.05</x:v>
      </x:c>
      <x:c r="T373" s="36" t="n">
        <x:v>151.91</x:v>
      </x:c>
      <x:c r="U373" s="36" t="n">
        <x:v>319.8</x:v>
      </x:c>
      <x:c r="V373" s="36" t="n">
        <x:v>15.98</x:v>
      </x:c>
      <x:c r="W373" s="36" t="n">
        <x:v>303.82</x:v>
      </x:c>
      <x:c r="X373" s="36" t="n">
        <x:v>168</x:v>
      </x:c>
      <x:c r="Y373" s="36" t="n">
        <x:v>135.82</x:v>
      </x:c>
      <x:c r="Z373" s="38" t="n">
        <x:v>0.447</x:v>
      </x:c>
      <x:c r="AA373" s="36" t="n">
        <x:v>31.12</x:v>
      </x:c>
      <x:c r="AB373" s="34" t="n">
        <x:v>3</x:v>
      </x:c>
      <x:c r="AC373" t="str"/>
    </x:row>
    <x:row r="374">
      <x:c r="A374" s="34" t="n">
        <x:v>373</x:v>
      </x:c>
      <x:c r="B374" s="34" t="n">
        <x:v>210</x:v>
      </x:c>
      <x:c r="C374" s="32" t="n">
        <x:v>46154</x:v>
      </x:c>
      <x:c r="D374" t="str">
        <x:v>2026-05</x:v>
      </x:c>
      <x:c r="E374" s="34" t="n">
        <x:v>50</x:v>
      </x:c>
      <x:c r="F374" t="str">
        <x:v>Rodrigo Lima</x:v>
      </x:c>
      <x:c r="G374" t="str">
        <x:v>MG</x:v>
      </x:c>
      <x:c r="H374" t="str">
        <x:v>Uberlândia</x:v>
      </x:c>
      <x:c r="I374" s="34" t="n">
        <x:v>47</x:v>
      </x:c>
      <x:c r="J374" t="str">
        <x:v>ENTREGUE</x:v>
      </x:c>
      <x:c r="K374" t="str">
        <x:v>Marketplace</x:v>
      </x:c>
      <x:c r="L374" t="str">
        <x:v>Boleto</x:v>
      </x:c>
      <x:c r="M374" s="34" t="n">
        <x:v>11</x:v>
      </x:c>
      <x:c r="N374" t="str">
        <x:v>SSD NVMe 500GB</x:v>
      </x:c>
      <x:c r="O374" t="str">
        <x:v>Armazenamento</x:v>
      </x:c>
      <x:c r="P374" t="str">
        <x:v>FastHardware</x:v>
      </x:c>
      <x:c r="Q374" s="34" t="n">
        <x:v>1</x:v>
      </x:c>
      <x:c r="R374" s="36" t="n">
        <x:v>329.9</x:v>
      </x:c>
      <x:c r="S374" s="38" t="n">
        <x:v>0.1</x:v>
      </x:c>
      <x:c r="T374" s="36" t="n">
        <x:v>296.91</x:v>
      </x:c>
      <x:c r="U374" s="36" t="n">
        <x:v>329.9</x:v>
      </x:c>
      <x:c r="V374" s="36" t="n">
        <x:v>32.99</x:v>
      </x:c>
      <x:c r="W374" s="36" t="n">
        <x:v>296.91</x:v>
      </x:c>
      <x:c r="X374" s="36" t="n">
        <x:v>205</x:v>
      </x:c>
      <x:c r="Y374" s="36" t="n">
        <x:v>91.91</x:v>
      </x:c>
      <x:c r="Z374" s="38" t="n">
        <x:v>0.3096</x:v>
      </x:c>
      <x:c r="AA374" s="36" t="n">
        <x:v>31.12</x:v>
      </x:c>
      <x:c r="AB374" s="34" t="n">
        <x:v>3</x:v>
      </x:c>
      <x:c r="AC374" t="str"/>
    </x:row>
    <x:row r="375">
      <x:c r="A375" s="34" t="n">
        <x:v>374</x:v>
      </x:c>
      <x:c r="B375" s="34" t="n">
        <x:v>210</x:v>
      </x:c>
      <x:c r="C375" s="32" t="n">
        <x:v>46154</x:v>
      </x:c>
      <x:c r="D375" t="str">
        <x:v>2026-05</x:v>
      </x:c>
      <x:c r="E375" s="34" t="n">
        <x:v>50</x:v>
      </x:c>
      <x:c r="F375" t="str">
        <x:v>Rodrigo Lima</x:v>
      </x:c>
      <x:c r="G375" t="str">
        <x:v>MG</x:v>
      </x:c>
      <x:c r="H375" t="str">
        <x:v>Uberlândia</x:v>
      </x:c>
      <x:c r="I375" s="34" t="n">
        <x:v>47</x:v>
      </x:c>
      <x:c r="J375" t="str">
        <x:v>ENTREGUE</x:v>
      </x:c>
      <x:c r="K375" t="str">
        <x:v>Marketplace</x:v>
      </x:c>
      <x:c r="L375" t="str">
        <x:v>Boleto</x:v>
      </x:c>
      <x:c r="M375" s="34" t="n">
        <x:v>18</x:v>
      </x:c>
      <x:c r="N375" t="str">
        <x:v>Cooler para Processador</x:v>
      </x:c>
      <x:c r="O375" t="str">
        <x:v>Componentes</x:v>
      </x:c>
      <x:c r="P375" t="str">
        <x:v>Mega Componentes</x:v>
      </x:c>
      <x:c r="Q375" s="34" t="n">
        <x:v>3</x:v>
      </x:c>
      <x:c r="R375" s="36" t="n">
        <x:v>99.9</x:v>
      </x:c>
      <x:c r="S375" s="38" t="n">
        <x:v>0</x:v>
      </x:c>
      <x:c r="T375" s="36" t="n">
        <x:v>99.9</x:v>
      </x:c>
      <x:c r="U375" s="36" t="n">
        <x:v>299.7</x:v>
      </x:c>
      <x:c r="V375" s="36" t="n">
        <x:v>0</x:v>
      </x:c>
      <x:c r="W375" s="36" t="n">
        <x:v>299.7</x:v>
      </x:c>
      <x:c r="X375" s="36" t="n">
        <x:v>138</x:v>
      </x:c>
      <x:c r="Y375" s="36" t="n">
        <x:v>161.7</x:v>
      </x:c>
      <x:c r="Z375" s="38" t="n">
        <x:v>0.5395</x:v>
      </x:c>
      <x:c r="AA375" s="36" t="n">
        <x:v>31.12</x:v>
      </x:c>
      <x:c r="AB375" s="34" t="n">
        <x:v>3</x:v>
      </x:c>
      <x:c r="AC375" t="str"/>
    </x:row>
    <x:row r="376">
      <x:c r="A376" s="34" t="n">
        <x:v>375</x:v>
      </x:c>
      <x:c r="B376" s="34" t="n">
        <x:v>211</x:v>
      </x:c>
      <x:c r="C376" s="32" t="n">
        <x:v>46177</x:v>
      </x:c>
      <x:c r="D376" t="str">
        <x:v>2026-06</x:v>
      </x:c>
      <x:c r="E376" s="34" t="n">
        <x:v>27</x:v>
      </x:c>
      <x:c r="F376" t="str">
        <x:v>Rodrigo Almeida</x:v>
      </x:c>
      <x:c r="G376" t="str">
        <x:v>SP</x:v>
      </x:c>
      <x:c r="H376" t="str">
        <x:v>Ribeirão Preto</x:v>
      </x:c>
      <x:c r="I376" s="34" t="n">
        <x:v>64</x:v>
      </x:c>
      <x:c r="J376" t="str">
        <x:v>EM PROCESSAMENTO</x:v>
      </x:c>
      <x:c r="K376" t="str">
        <x:v>Site</x:v>
      </x:c>
      <x:c r="L376" t="str">
        <x:v>Cartão crédito</x:v>
      </x:c>
      <x:c r="M376" s="34" t="n">
        <x:v>27</x:v>
      </x:c>
      <x:c r="N376" t="str">
        <x:v>Placa de Rede PCIe</x:v>
      </x:c>
      <x:c r="O376" t="str">
        <x:v>Rede</x:v>
      </x:c>
      <x:c r="P376" t="str">
        <x:v>Connect Rede</x:v>
      </x:c>
      <x:c r="Q376" s="34" t="n">
        <x:v>1</x:v>
      </x:c>
      <x:c r="R376" s="36" t="n">
        <x:v>79.9</x:v>
      </x:c>
      <x:c r="S376" s="38" t="n">
        <x:v>0</x:v>
      </x:c>
      <x:c r="T376" s="36" t="n">
        <x:v>79.9</x:v>
      </x:c>
      <x:c r="U376" s="36" t="n">
        <x:v>79.9</x:v>
      </x:c>
      <x:c r="V376" s="36" t="n">
        <x:v>0</x:v>
      </x:c>
      <x:c r="W376" s="36" t="n">
        <x:v>79.9</x:v>
      </x:c>
      <x:c r="X376" s="36" t="n">
        <x:v>37</x:v>
      </x:c>
      <x:c r="Y376" s="36" t="n">
        <x:v>42.9</x:v>
      </x:c>
      <x:c r="Z376" s="38" t="n">
        <x:v>0.5369</x:v>
      </x:c>
      <x:c r="AA376" s="36" t="n">
        <x:v>31.67</x:v>
      </x:c>
      <x:c r="AB376" s="34"/>
      <x:c r="AC376" t="str"/>
    </x:row>
    <x:row r="377">
      <x:c r="A377" s="34" t="n">
        <x:v>376</x:v>
      </x:c>
      <x:c r="B377" s="34" t="n">
        <x:v>211</x:v>
      </x:c>
      <x:c r="C377" s="32" t="n">
        <x:v>46177</x:v>
      </x:c>
      <x:c r="D377" t="str">
        <x:v>2026-06</x:v>
      </x:c>
      <x:c r="E377" s="34" t="n">
        <x:v>27</x:v>
      </x:c>
      <x:c r="F377" t="str">
        <x:v>Rodrigo Almeida</x:v>
      </x:c>
      <x:c r="G377" t="str">
        <x:v>SP</x:v>
      </x:c>
      <x:c r="H377" t="str">
        <x:v>Ribeirão Preto</x:v>
      </x:c>
      <x:c r="I377" s="34" t="n">
        <x:v>64</x:v>
      </x:c>
      <x:c r="J377" t="str">
        <x:v>EM PROCESSAMENTO</x:v>
      </x:c>
      <x:c r="K377" t="str">
        <x:v>Site</x:v>
      </x:c>
      <x:c r="L377" t="str">
        <x:v>Cartão crédito</x:v>
      </x:c>
      <x:c r="M377" s="34" t="n">
        <x:v>9</x:v>
      </x:c>
      <x:c r="N377" t="str">
        <x:v>SSD 240GB SATA</x:v>
      </x:c>
      <x:c r="O377" t="str">
        <x:v>Armazenamento</x:v>
      </x:c>
      <x:c r="P377" t="str">
        <x:v>Mega Componentes</x:v>
      </x:c>
      <x:c r="Q377" s="34" t="n">
        <x:v>1</x:v>
      </x:c>
      <x:c r="R377" s="36" t="n">
        <x:v>169.9</x:v>
      </x:c>
      <x:c r="S377" s="38" t="n">
        <x:v>0.05</x:v>
      </x:c>
      <x:c r="T377" s="36" t="n">
        <x:v>161.41</x:v>
      </x:c>
      <x:c r="U377" s="36" t="n">
        <x:v>169.9</x:v>
      </x:c>
      <x:c r="V377" s="36" t="n">
        <x:v>8.49</x:v>
      </x:c>
      <x:c r="W377" s="36" t="n">
        <x:v>161.41</x:v>
      </x:c>
      <x:c r="X377" s="36" t="n">
        <x:v>98</x:v>
      </x:c>
      <x:c r="Y377" s="36" t="n">
        <x:v>63.41</x:v>
      </x:c>
      <x:c r="Z377" s="38" t="n">
        <x:v>0.3929</x:v>
      </x:c>
      <x:c r="AA377" s="36" t="n">
        <x:v>31.67</x:v>
      </x:c>
      <x:c r="AB377" s="34"/>
      <x:c r="AC377" t="str"/>
    </x:row>
    <x:row r="378">
      <x:c r="A378" s="34" t="n">
        <x:v>377</x:v>
      </x:c>
      <x:c r="B378" s="34" t="n">
        <x:v>212</x:v>
      </x:c>
      <x:c r="C378" s="32" t="n">
        <x:v>46122</x:v>
      </x:c>
      <x:c r="D378" t="str">
        <x:v>2026-04</x:v>
      </x:c>
      <x:c r="E378" s="34" t="n">
        <x:v>59</x:v>
      </x:c>
      <x:c r="F378" t="str">
        <x:v>Letícia Souza</x:v>
      </x:c>
      <x:c r="G378" t="str">
        <x:v>SP</x:v>
      </x:c>
      <x:c r="H378" t="str">
        <x:v>Votuporanga</x:v>
      </x:c>
      <x:c r="I378" s="34" t="n">
        <x:v>39</x:v>
      </x:c>
      <x:c r="J378" t="str">
        <x:v>ENTREGUE</x:v>
      </x:c>
      <x:c r="K378" t="str">
        <x:v>Instagram</x:v>
      </x:c>
      <x:c r="L378" t="str">
        <x:v>Pix</x:v>
      </x:c>
      <x:c r="M378" s="34" t="n">
        <x:v>28</x:v>
      </x:c>
      <x:c r="N378" t="str">
        <x:v>Repetidor Wi-Fi</x:v>
      </x:c>
      <x:c r="O378" t="str">
        <x:v>Rede</x:v>
      </x:c>
      <x:c r="P378" t="str">
        <x:v>Connect Rede</x:v>
      </x:c>
      <x:c r="Q378" s="34" t="n">
        <x:v>1</x:v>
      </x:c>
      <x:c r="R378" s="36" t="n">
        <x:v>139.9</x:v>
      </x:c>
      <x:c r="S378" s="38" t="n">
        <x:v>0.03</x:v>
      </x:c>
      <x:c r="T378" s="36" t="n">
        <x:v>135.7</x:v>
      </x:c>
      <x:c r="U378" s="36" t="n">
        <x:v>139.9</x:v>
      </x:c>
      <x:c r="V378" s="36" t="n">
        <x:v>4.2</x:v>
      </x:c>
      <x:c r="W378" s="36" t="n">
        <x:v>135.7</x:v>
      </x:c>
      <x:c r="X378" s="36" t="n">
        <x:v>69</x:v>
      </x:c>
      <x:c r="Y378" s="36" t="n">
        <x:v>66.7</x:v>
      </x:c>
      <x:c r="Z378" s="38" t="n">
        <x:v>0.4915</x:v>
      </x:c>
      <x:c r="AA378" s="36" t="n">
        <x:v>29.17</x:v>
      </x:c>
      <x:c r="AB378" s="34" t="n">
        <x:v>5</x:v>
      </x:c>
      <x:c r="AC378" t="str"/>
    </x:row>
    <x:row r="379">
      <x:c r="A379" s="34" t="n">
        <x:v>378</x:v>
      </x:c>
      <x:c r="B379" s="34" t="n">
        <x:v>212</x:v>
      </x:c>
      <x:c r="C379" s="32" t="n">
        <x:v>46122</x:v>
      </x:c>
      <x:c r="D379" t="str">
        <x:v>2026-04</x:v>
      </x:c>
      <x:c r="E379" s="34" t="n">
        <x:v>59</x:v>
      </x:c>
      <x:c r="F379" t="str">
        <x:v>Letícia Souza</x:v>
      </x:c>
      <x:c r="G379" t="str">
        <x:v>SP</x:v>
      </x:c>
      <x:c r="H379" t="str">
        <x:v>Votuporanga</x:v>
      </x:c>
      <x:c r="I379" s="34" t="n">
        <x:v>39</x:v>
      </x:c>
      <x:c r="J379" t="str">
        <x:v>ENTREGUE</x:v>
      </x:c>
      <x:c r="K379" t="str">
        <x:v>Instagram</x:v>
      </x:c>
      <x:c r="L379" t="str">
        <x:v>Pix</x:v>
      </x:c>
      <x:c r="M379" s="34" t="n">
        <x:v>14</x:v>
      </x:c>
      <x:c r="N379" t="str">
        <x:v>Memória RAM 16GB DDR4</x:v>
      </x:c>
      <x:c r="O379" t="str">
        <x:v>Componentes</x:v>
      </x:c>
      <x:c r="P379" t="str">
        <x:v>Mega Componentes</x:v>
      </x:c>
      <x:c r="Q379" s="34" t="n">
        <x:v>1</x:v>
      </x:c>
      <x:c r="R379" s="36" t="n">
        <x:v>319.9</x:v>
      </x:c>
      <x:c r="S379" s="38" t="n">
        <x:v>0</x:v>
      </x:c>
      <x:c r="T379" s="36" t="n">
        <x:v>319.9</x:v>
      </x:c>
      <x:c r="U379" s="36" t="n">
        <x:v>319.9</x:v>
      </x:c>
      <x:c r="V379" s="36" t="n">
        <x:v>0</x:v>
      </x:c>
      <x:c r="W379" s="36" t="n">
        <x:v>319.9</x:v>
      </x:c>
      <x:c r="X379" s="36" t="n">
        <x:v>198</x:v>
      </x:c>
      <x:c r="Y379" s="36" t="n">
        <x:v>121.9</x:v>
      </x:c>
      <x:c r="Z379" s="38" t="n">
        <x:v>0.3811</x:v>
      </x:c>
      <x:c r="AA379" s="36" t="n">
        <x:v>29.17</x:v>
      </x:c>
      <x:c r="AB379" s="34" t="n">
        <x:v>5</x:v>
      </x:c>
      <x:c r="AC379" t="str"/>
    </x:row>
    <x:row r="380">
      <x:c r="A380" s="34" t="n">
        <x:v>379</x:v>
      </x:c>
      <x:c r="B380" s="34" t="n">
        <x:v>213</x:v>
      </x:c>
      <x:c r="C380" s="32" t="n">
        <x:v>46117</x:v>
      </x:c>
      <x:c r="D380" t="str">
        <x:v>2026-04</x:v>
      </x:c>
      <x:c r="E380" s="34" t="n">
        <x:v>54</x:v>
      </x:c>
      <x:c r="F380" t="str">
        <x:v>Eduarda Gomes</x:v>
      </x:c>
      <x:c r="G380" t="str">
        <x:v>RJ</x:v>
      </x:c>
      <x:c r="H380" t="str">
        <x:v>Rio de Janeiro</x:v>
      </x:c>
      <x:c r="I380" s="34" t="n">
        <x:v>45</x:v>
      </x:c>
      <x:c r="J380" t="str">
        <x:v>ENTREGUE</x:v>
      </x:c>
      <x:c r="K380" t="str">
        <x:v>Site</x:v>
      </x:c>
      <x:c r="L380" t="str">
        <x:v>Pix</x:v>
      </x:c>
      <x:c r="M380" s="34" t="n">
        <x:v>27</x:v>
      </x:c>
      <x:c r="N380" t="str">
        <x:v>Placa de Rede PCIe</x:v>
      </x:c>
      <x:c r="O380" t="str">
        <x:v>Rede</x:v>
      </x:c>
      <x:c r="P380" t="str">
        <x:v>Connect Rede</x:v>
      </x:c>
      <x:c r="Q380" s="34" t="n">
        <x:v>2</x:v>
      </x:c>
      <x:c r="R380" s="36" t="n">
        <x:v>79.9</x:v>
      </x:c>
      <x:c r="S380" s="38" t="n">
        <x:v>0.12</x:v>
      </x:c>
      <x:c r="T380" s="36" t="n">
        <x:v>70.31</x:v>
      </x:c>
      <x:c r="U380" s="36" t="n">
        <x:v>159.8</x:v>
      </x:c>
      <x:c r="V380" s="36" t="n">
        <x:v>19.18</x:v>
      </x:c>
      <x:c r="W380" s="36" t="n">
        <x:v>140.62</x:v>
      </x:c>
      <x:c r="X380" s="36" t="n">
        <x:v>74</x:v>
      </x:c>
      <x:c r="Y380" s="36" t="n">
        <x:v>66.62</x:v>
      </x:c>
      <x:c r="Z380" s="38" t="n">
        <x:v>0.4738</x:v>
      </x:c>
      <x:c r="AA380" s="36" t="n">
        <x:v>36.19</x:v>
      </x:c>
      <x:c r="AB380" s="34" t="n">
        <x:v>5</x:v>
      </x:c>
      <x:c r="AC380" t="str"/>
    </x:row>
    <x:row r="381">
      <x:c r="A381" s="34" t="n">
        <x:v>380</x:v>
      </x:c>
      <x:c r="B381" s="34" t="n">
        <x:v>213</x:v>
      </x:c>
      <x:c r="C381" s="32" t="n">
        <x:v>46117</x:v>
      </x:c>
      <x:c r="D381" t="str">
        <x:v>2026-04</x:v>
      </x:c>
      <x:c r="E381" s="34" t="n">
        <x:v>54</x:v>
      </x:c>
      <x:c r="F381" t="str">
        <x:v>Eduarda Gomes</x:v>
      </x:c>
      <x:c r="G381" t="str">
        <x:v>RJ</x:v>
      </x:c>
      <x:c r="H381" t="str">
        <x:v>Rio de Janeiro</x:v>
      </x:c>
      <x:c r="I381" s="34" t="n">
        <x:v>45</x:v>
      </x:c>
      <x:c r="J381" t="str">
        <x:v>ENTREGUE</x:v>
      </x:c>
      <x:c r="K381" t="str">
        <x:v>Site</x:v>
      </x:c>
      <x:c r="L381" t="str">
        <x:v>Pix</x:v>
      </x:c>
      <x:c r="M381" s="34" t="n">
        <x:v>7</x:v>
      </x:c>
      <x:c r="N381" t="str">
        <x:v>Adaptador USB-C HDMI</x:v>
      </x:c>
      <x:c r="O381" t="str">
        <x:v>Acessórios</x:v>
      </x:c>
      <x:c r="P381" t="str">
        <x:v>Prime Eletrônicos</x:v>
      </x:c>
      <x:c r="Q381" s="34" t="n">
        <x:v>2</x:v>
      </x:c>
      <x:c r="R381" s="36" t="n">
        <x:v>119.9</x:v>
      </x:c>
      <x:c r="S381" s="38" t="n">
        <x:v>0</x:v>
      </x:c>
      <x:c r="T381" s="36" t="n">
        <x:v>119.9</x:v>
      </x:c>
      <x:c r="U381" s="36" t="n">
        <x:v>239.8</x:v>
      </x:c>
      <x:c r="V381" s="36" t="n">
        <x:v>0</x:v>
      </x:c>
      <x:c r="W381" s="36" t="n">
        <x:v>239.8</x:v>
      </x:c>
      <x:c r="X381" s="36" t="n">
        <x:v>116</x:v>
      </x:c>
      <x:c r="Y381" s="36" t="n">
        <x:v>123.8</x:v>
      </x:c>
      <x:c r="Z381" s="38" t="n">
        <x:v>0.5163</x:v>
      </x:c>
      <x:c r="AA381" s="36" t="n">
        <x:v>36.19</x:v>
      </x:c>
      <x:c r="AB381" s="34" t="n">
        <x:v>5</x:v>
      </x:c>
      <x:c r="AC381" t="str"/>
    </x:row>
    <x:row r="382">
      <x:c r="A382" s="34" t="n">
        <x:v>381</x:v>
      </x:c>
      <x:c r="B382" s="34" t="n">
        <x:v>214</x:v>
      </x:c>
      <x:c r="C382" s="32" t="n">
        <x:v>46146</x:v>
      </x:c>
      <x:c r="D382" t="str">
        <x:v>2026-05</x:v>
      </x:c>
      <x:c r="E382" s="34" t="n">
        <x:v>51</x:v>
      </x:c>
      <x:c r="F382" t="str">
        <x:v>Sofia Martins</x:v>
      </x:c>
      <x:c r="G382" t="str">
        <x:v>PR</x:v>
      </x:c>
      <x:c r="H382" t="str">
        <x:v>Curitiba</x:v>
      </x:c>
      <x:c r="I382" s="34" t="n">
        <x:v>23</x:v>
      </x:c>
      <x:c r="J382" t="str">
        <x:v>EM PROCESSAMENTO</x:v>
      </x:c>
      <x:c r="K382" t="str">
        <x:v>Indicação</x:v>
      </x:c>
      <x:c r="L382" t="str">
        <x:v>Cartão crédito</x:v>
      </x:c>
      <x:c r="M382" s="34" t="n">
        <x:v>18</x:v>
      </x:c>
      <x:c r="N382" t="str">
        <x:v>Cooler para Processador</x:v>
      </x:c>
      <x:c r="O382" t="str">
        <x:v>Componentes</x:v>
      </x:c>
      <x:c r="P382" t="str">
        <x:v>Mega Componentes</x:v>
      </x:c>
      <x:c r="Q382" s="34" t="n">
        <x:v>2</x:v>
      </x:c>
      <x:c r="R382" s="36" t="n">
        <x:v>99.9</x:v>
      </x:c>
      <x:c r="S382" s="38" t="n">
        <x:v>0.05</x:v>
      </x:c>
      <x:c r="T382" s="36" t="n">
        <x:v>94.91</x:v>
      </x:c>
      <x:c r="U382" s="36" t="n">
        <x:v>199.8</x:v>
      </x:c>
      <x:c r="V382" s="36" t="n">
        <x:v>9.98</x:v>
      </x:c>
      <x:c r="W382" s="36" t="n">
        <x:v>189.82</x:v>
      </x:c>
      <x:c r="X382" s="36" t="n">
        <x:v>92</x:v>
      </x:c>
      <x:c r="Y382" s="36" t="n">
        <x:v>97.82</x:v>
      </x:c>
      <x:c r="Z382" s="38" t="n">
        <x:v>0.5153</x:v>
      </x:c>
      <x:c r="AA382" s="36" t="n">
        <x:v>52.92</x:v>
      </x:c>
      <x:c r="AB382" s="34"/>
      <x:c r="AC382" t="str"/>
    </x:row>
    <x:row r="383">
      <x:c r="A383" s="34" t="n">
        <x:v>382</x:v>
      </x:c>
      <x:c r="B383" s="34" t="n">
        <x:v>215</x:v>
      </x:c>
      <x:c r="C383" s="32" t="n">
        <x:v>46160</x:v>
      </x:c>
      <x:c r="D383" t="str">
        <x:v>2026-05</x:v>
      </x:c>
      <x:c r="E383" s="34" t="n">
        <x:v>16</x:v>
      </x:c>
      <x:c r="F383" t="str">
        <x:v>Larissa Martins</x:v>
      </x:c>
      <x:c r="G383" t="str">
        <x:v>SP</x:v>
      </x:c>
      <x:c r="H383" t="str">
        <x:v>São José do Rio Preto</x:v>
      </x:c>
      <x:c r="I383" s="34" t="n">
        <x:v>33</x:v>
      </x:c>
      <x:c r="J383" t="str">
        <x:v>ENTREGUE</x:v>
      </x:c>
      <x:c r="K383" t="str">
        <x:v>Site</x:v>
      </x:c>
      <x:c r="L383" t="str">
        <x:v>Cartão crédito</x:v>
      </x:c>
      <x:c r="M383" s="34" t="n">
        <x:v>25</x:v>
      </x:c>
      <x:c r="N383" t="str">
        <x:v>Roteador Wi-Fi AC1200</x:v>
      </x:c>
      <x:c r="O383" t="str">
        <x:v>Rede</x:v>
      </x:c>
      <x:c r="P383" t="str">
        <x:v>Connect Rede</x:v>
      </x:c>
      <x:c r="Q383" s="34" t="n">
        <x:v>3</x:v>
      </x:c>
      <x:c r="R383" s="36" t="n">
        <x:v>249.9</x:v>
      </x:c>
      <x:c r="S383" s="38" t="n">
        <x:v>0</x:v>
      </x:c>
      <x:c r="T383" s="36" t="n">
        <x:v>249.9</x:v>
      </x:c>
      <x:c r="U383" s="36" t="n">
        <x:v>749.7</x:v>
      </x:c>
      <x:c r="V383" s="36" t="n">
        <x:v>0</x:v>
      </x:c>
      <x:c r="W383" s="36" t="n">
        <x:v>749.7</x:v>
      </x:c>
      <x:c r="X383" s="36" t="n">
        <x:v>435</x:v>
      </x:c>
      <x:c r="Y383" s="36" t="n">
        <x:v>314.7</x:v>
      </x:c>
      <x:c r="Z383" s="38" t="n">
        <x:v>0.4198</x:v>
      </x:c>
      <x:c r="AA383" s="36" t="n">
        <x:v>47.71</x:v>
      </x:c>
      <x:c r="AB383" s="34" t="n">
        <x:v>1</x:v>
      </x:c>
      <x:c r="AC383" t="str"/>
    </x:row>
    <x:row r="384">
      <x:c r="A384" s="34" t="n">
        <x:v>383</x:v>
      </x:c>
      <x:c r="B384" s="34" t="n">
        <x:v>215</x:v>
      </x:c>
      <x:c r="C384" s="32" t="n">
        <x:v>46160</x:v>
      </x:c>
      <x:c r="D384" t="str">
        <x:v>2026-05</x:v>
      </x:c>
      <x:c r="E384" s="34" t="n">
        <x:v>16</x:v>
      </x:c>
      <x:c r="F384" t="str">
        <x:v>Larissa Martins</x:v>
      </x:c>
      <x:c r="G384" t="str">
        <x:v>SP</x:v>
      </x:c>
      <x:c r="H384" t="str">
        <x:v>São José do Rio Preto</x:v>
      </x:c>
      <x:c r="I384" s="34" t="n">
        <x:v>33</x:v>
      </x:c>
      <x:c r="J384" t="str">
        <x:v>ENTREGUE</x:v>
      </x:c>
      <x:c r="K384" t="str">
        <x:v>Site</x:v>
      </x:c>
      <x:c r="L384" t="str">
        <x:v>Cartão crédito</x:v>
      </x:c>
      <x:c r="M384" s="34" t="n">
        <x:v>16</x:v>
      </x:c>
      <x:c r="N384" t="str">
        <x:v>Placa de Vídeo GTX 1650</x:v>
      </x:c>
      <x:c r="O384" t="str">
        <x:v>Componentes</x:v>
      </x:c>
      <x:c r="P384" t="str">
        <x:v>FastHardware</x:v>
      </x:c>
      <x:c r="Q384" s="34" t="n">
        <x:v>2</x:v>
      </x:c>
      <x:c r="R384" s="36" t="n">
        <x:v>949.9</x:v>
      </x:c>
      <x:c r="S384" s="38" t="n">
        <x:v>0</x:v>
      </x:c>
      <x:c r="T384" s="36" t="n">
        <x:v>949.9</x:v>
      </x:c>
      <x:c r="U384" s="36" t="n">
        <x:v>1899.8</x:v>
      </x:c>
      <x:c r="V384" s="36" t="n">
        <x:v>0</x:v>
      </x:c>
      <x:c r="W384" s="36" t="n">
        <x:v>1899.8</x:v>
      </x:c>
      <x:c r="X384" s="36" t="n">
        <x:v>1470</x:v>
      </x:c>
      <x:c r="Y384" s="36" t="n">
        <x:v>429.8</x:v>
      </x:c>
      <x:c r="Z384" s="38" t="n">
        <x:v>0.2262</x:v>
      </x:c>
      <x:c r="AA384" s="36" t="n">
        <x:v>47.71</x:v>
      </x:c>
      <x:c r="AB384" s="34" t="n">
        <x:v>1</x:v>
      </x:c>
      <x:c r="AC384" t="str"/>
    </x:row>
    <x:row r="385">
      <x:c r="A385" s="34" t="n">
        <x:v>384</x:v>
      </x:c>
      <x:c r="B385" s="34" t="n">
        <x:v>216</x:v>
      </x:c>
      <x:c r="C385" s="32" t="n">
        <x:v>46115</x:v>
      </x:c>
      <x:c r="D385" t="str">
        <x:v>2026-04</x:v>
      </x:c>
      <x:c r="E385" s="34" t="n">
        <x:v>56</x:v>
      </x:c>
      <x:c r="F385" t="str">
        <x:v>Olívia Lima</x:v>
      </x:c>
      <x:c r="G385" t="str">
        <x:v>SC</x:v>
      </x:c>
      <x:c r="H385" t="str">
        <x:v>Florianópolis</x:v>
      </x:c>
      <x:c r="I385" s="34" t="n">
        <x:v>53</x:v>
      </x:c>
      <x:c r="J385" t="str">
        <x:v>ENTREGUE</x:v>
      </x:c>
      <x:c r="K385" t="str">
        <x:v>WhatsApp</x:v>
      </x:c>
      <x:c r="L385" t="str">
        <x:v>Pix</x:v>
      </x:c>
      <x:c r="M385" s="34" t="n">
        <x:v>26</x:v>
      </x:c>
      <x:c r="N385" t="str">
        <x:v>Switch 8 Portas Gigabit</x:v>
      </x:c>
      <x:c r="O385" t="str">
        <x:v>Rede</x:v>
      </x:c>
      <x:c r="P385" t="str">
        <x:v>Connect Rede</x:v>
      </x:c>
      <x:c r="Q385" s="34" t="n">
        <x:v>1</x:v>
      </x:c>
      <x:c r="R385" s="36" t="n">
        <x:v>189.9</x:v>
      </x:c>
      <x:c r="S385" s="38" t="n">
        <x:v>0.05</x:v>
      </x:c>
      <x:c r="T385" s="36" t="n">
        <x:v>180.41</x:v>
      </x:c>
      <x:c r="U385" s="36" t="n">
        <x:v>189.9</x:v>
      </x:c>
      <x:c r="V385" s="36" t="n">
        <x:v>9.49</x:v>
      </x:c>
      <x:c r="W385" s="36" t="n">
        <x:v>180.41</x:v>
      </x:c>
      <x:c r="X385" s="36" t="n">
        <x:v>103</x:v>
      </x:c>
      <x:c r="Y385" s="36" t="n">
        <x:v>77.41</x:v>
      </x:c>
      <x:c r="Z385" s="38" t="n">
        <x:v>0.4291</x:v>
      </x:c>
      <x:c r="AA385" s="36" t="n">
        <x:v>43.46</x:v>
      </x:c>
      <x:c r="AB385" s="34" t="n">
        <x:v>5</x:v>
      </x:c>
      <x:c r="AC385" t="str"/>
    </x:row>
    <x:row r="386">
      <x:c r="A386" s="34" t="n">
        <x:v>385</x:v>
      </x:c>
      <x:c r="B386" s="34" t="n">
        <x:v>216</x:v>
      </x:c>
      <x:c r="C386" s="32" t="n">
        <x:v>46115</x:v>
      </x:c>
      <x:c r="D386" t="str">
        <x:v>2026-04</x:v>
      </x:c>
      <x:c r="E386" s="34" t="n">
        <x:v>56</x:v>
      </x:c>
      <x:c r="F386" t="str">
        <x:v>Olívia Lima</x:v>
      </x:c>
      <x:c r="G386" t="str">
        <x:v>SC</x:v>
      </x:c>
      <x:c r="H386" t="str">
        <x:v>Florianópolis</x:v>
      </x:c>
      <x:c r="I386" s="34" t="n">
        <x:v>53</x:v>
      </x:c>
      <x:c r="J386" t="str">
        <x:v>ENTREGUE</x:v>
      </x:c>
      <x:c r="K386" t="str">
        <x:v>WhatsApp</x:v>
      </x:c>
      <x:c r="L386" t="str">
        <x:v>Pix</x:v>
      </x:c>
      <x:c r="M386" s="34" t="n">
        <x:v>27</x:v>
      </x:c>
      <x:c r="N386" t="str">
        <x:v>Placa de Rede PCIe</x:v>
      </x:c>
      <x:c r="O386" t="str">
        <x:v>Rede</x:v>
      </x:c>
      <x:c r="P386" t="str">
        <x:v>Connect Rede</x:v>
      </x:c>
      <x:c r="Q386" s="34" t="n">
        <x:v>1</x:v>
      </x:c>
      <x:c r="R386" s="36" t="n">
        <x:v>79.9</x:v>
      </x:c>
      <x:c r="S386" s="38" t="n">
        <x:v>0</x:v>
      </x:c>
      <x:c r="T386" s="36" t="n">
        <x:v>79.9</x:v>
      </x:c>
      <x:c r="U386" s="36" t="n">
        <x:v>79.9</x:v>
      </x:c>
      <x:c r="V386" s="36" t="n">
        <x:v>0</x:v>
      </x:c>
      <x:c r="W386" s="36" t="n">
        <x:v>79.9</x:v>
      </x:c>
      <x:c r="X386" s="36" t="n">
        <x:v>37</x:v>
      </x:c>
      <x:c r="Y386" s="36" t="n">
        <x:v>42.9</x:v>
      </x:c>
      <x:c r="Z386" s="38" t="n">
        <x:v>0.5369</x:v>
      </x:c>
      <x:c r="AA386" s="36" t="n">
        <x:v>43.46</x:v>
      </x:c>
      <x:c r="AB386" s="34" t="n">
        <x:v>5</x:v>
      </x:c>
      <x:c r="AC386" t="str"/>
    </x:row>
    <x:row r="387">
      <x:c r="A387" s="34" t="n">
        <x:v>386</x:v>
      </x:c>
      <x:c r="B387" s="34" t="n">
        <x:v>216</x:v>
      </x:c>
      <x:c r="C387" s="32" t="n">
        <x:v>46115</x:v>
      </x:c>
      <x:c r="D387" t="str">
        <x:v>2026-04</x:v>
      </x:c>
      <x:c r="E387" s="34" t="n">
        <x:v>56</x:v>
      </x:c>
      <x:c r="F387" t="str">
        <x:v>Olívia Lima</x:v>
      </x:c>
      <x:c r="G387" t="str">
        <x:v>SC</x:v>
      </x:c>
      <x:c r="H387" t="str">
        <x:v>Florianópolis</x:v>
      </x:c>
      <x:c r="I387" s="34" t="n">
        <x:v>53</x:v>
      </x:c>
      <x:c r="J387" t="str">
        <x:v>ENTREGUE</x:v>
      </x:c>
      <x:c r="K387" t="str">
        <x:v>WhatsApp</x:v>
      </x:c>
      <x:c r="L387" t="str">
        <x:v>Pix</x:v>
      </x:c>
      <x:c r="M387" s="34" t="n">
        <x:v>17</x:v>
      </x:c>
      <x:c r="N387" t="str">
        <x:v>Processador Ryzen 5</x:v>
      </x:c>
      <x:c r="O387" t="str">
        <x:v>Componentes</x:v>
      </x:c>
      <x:c r="P387" t="str">
        <x:v>FastHardware</x:v>
      </x:c>
      <x:c r="Q387" s="34" t="n">
        <x:v>1</x:v>
      </x:c>
      <x:c r="R387" s="36" t="n">
        <x:v>799.9</x:v>
      </x:c>
      <x:c r="S387" s="38" t="n">
        <x:v>0</x:v>
      </x:c>
      <x:c r="T387" s="36" t="n">
        <x:v>799.9</x:v>
      </x:c>
      <x:c r="U387" s="36" t="n">
        <x:v>799.9</x:v>
      </x:c>
      <x:c r="V387" s="36" t="n">
        <x:v>0</x:v>
      </x:c>
      <x:c r="W387" s="36" t="n">
        <x:v>799.9</x:v>
      </x:c>
      <x:c r="X387" s="36" t="n">
        <x:v>612</x:v>
      </x:c>
      <x:c r="Y387" s="36" t="n">
        <x:v>187.9</x:v>
      </x:c>
      <x:c r="Z387" s="38" t="n">
        <x:v>0.2349</x:v>
      </x:c>
      <x:c r="AA387" s="36" t="n">
        <x:v>43.46</x:v>
      </x:c>
      <x:c r="AB387" s="34" t="n">
        <x:v>5</x:v>
      </x:c>
      <x:c r="AC387" t="str"/>
    </x:row>
    <x:row r="388">
      <x:c r="A388" s="34" t="n">
        <x:v>387</x:v>
      </x:c>
      <x:c r="B388" s="34" t="n">
        <x:v>217</x:v>
      </x:c>
      <x:c r="C388" s="32" t="n">
        <x:v>46127</x:v>
      </x:c>
      <x:c r="D388" t="str">
        <x:v>2026-04</x:v>
      </x:c>
      <x:c r="E388" s="34" t="n">
        <x:v>36</x:v>
      </x:c>
      <x:c r="F388" t="str">
        <x:v>Yasmin Carvalho</x:v>
      </x:c>
      <x:c r="G388" t="str">
        <x:v>SP</x:v>
      </x:c>
      <x:c r="H388" t="str">
        <x:v>Votuporanga</x:v>
      </x:c>
      <x:c r="I388" s="34" t="n">
        <x:v>34</x:v>
      </x:c>
      <x:c r="J388" t="str">
        <x:v>ENTREGUE</x:v>
      </x:c>
      <x:c r="K388" t="str">
        <x:v>Site</x:v>
      </x:c>
      <x:c r="L388" t="str">
        <x:v>Pix</x:v>
      </x:c>
      <x:c r="M388" s="34" t="n">
        <x:v>3</x:v>
      </x:c>
      <x:c r="N388" t="str">
        <x:v>Headset Gamer P2</x:v>
      </x:c>
      <x:c r="O388" t="str">
        <x:v>Periféricos</x:v>
      </x:c>
      <x:c r="P388" t="str">
        <x:v>FastHardware</x:v>
      </x:c>
      <x:c r="Q388" s="34" t="n">
        <x:v>3</x:v>
      </x:c>
      <x:c r="R388" s="36" t="n">
        <x:v>159.9</x:v>
      </x:c>
      <x:c r="S388" s="38" t="n">
        <x:v>0.03</x:v>
      </x:c>
      <x:c r="T388" s="36" t="n">
        <x:v>155.1</x:v>
      </x:c>
      <x:c r="U388" s="36" t="n">
        <x:v>479.7</x:v>
      </x:c>
      <x:c r="V388" s="36" t="n">
        <x:v>14.4</x:v>
      </x:c>
      <x:c r="W388" s="36" t="n">
        <x:v>465.3</x:v>
      </x:c>
      <x:c r="X388" s="36" t="n">
        <x:v>252</x:v>
      </x:c>
      <x:c r="Y388" s="36" t="n">
        <x:v>213.3</x:v>
      </x:c>
      <x:c r="Z388" s="38" t="n">
        <x:v>0.4584</x:v>
      </x:c>
      <x:c r="AA388" s="36" t="n">
        <x:v>12</x:v>
      </x:c>
      <x:c r="AB388" s="34" t="n">
        <x:v>1</x:v>
      </x:c>
      <x:c r="AC388" t="str"/>
    </x:row>
    <x:row r="389">
      <x:c r="A389" s="34" t="n">
        <x:v>388</x:v>
      </x:c>
      <x:c r="B389" s="34" t="n">
        <x:v>218</x:v>
      </x:c>
      <x:c r="C389" s="32" t="n">
        <x:v>46153</x:v>
      </x:c>
      <x:c r="D389" t="str">
        <x:v>2026-05</x:v>
      </x:c>
      <x:c r="E389" s="34" t="n">
        <x:v>41</x:v>
      </x:c>
      <x:c r="F389" t="str">
        <x:v>Thiago Costa</x:v>
      </x:c>
      <x:c r="G389" t="str">
        <x:v>SC</x:v>
      </x:c>
      <x:c r="H389" t="str">
        <x:v>Florianópolis</x:v>
      </x:c>
      <x:c r="I389" s="34" t="n">
        <x:v>60</x:v>
      </x:c>
      <x:c r="J389" t="str">
        <x:v>ENTREGUE</x:v>
      </x:c>
      <x:c r="K389" t="str">
        <x:v>Instagram</x:v>
      </x:c>
      <x:c r="L389" t="str">
        <x:v>Pix</x:v>
      </x:c>
      <x:c r="M389" s="34" t="n">
        <x:v>14</x:v>
      </x:c>
      <x:c r="N389" t="str">
        <x:v>Memória RAM 16GB DDR4</x:v>
      </x:c>
      <x:c r="O389" t="str">
        <x:v>Componentes</x:v>
      </x:c>
      <x:c r="P389" t="str">
        <x:v>Mega Componentes</x:v>
      </x:c>
      <x:c r="Q389" s="34" t="n">
        <x:v>1</x:v>
      </x:c>
      <x:c r="R389" s="36" t="n">
        <x:v>319.9</x:v>
      </x:c>
      <x:c r="S389" s="38" t="n">
        <x:v>0.03</x:v>
      </x:c>
      <x:c r="T389" s="36" t="n">
        <x:v>310.3</x:v>
      </x:c>
      <x:c r="U389" s="36" t="n">
        <x:v>319.9</x:v>
      </x:c>
      <x:c r="V389" s="36" t="n">
        <x:v>9.6</x:v>
      </x:c>
      <x:c r="W389" s="36" t="n">
        <x:v>310.3</x:v>
      </x:c>
      <x:c r="X389" s="36" t="n">
        <x:v>198</x:v>
      </x:c>
      <x:c r="Y389" s="36" t="n">
        <x:v>112.3</x:v>
      </x:c>
      <x:c r="Z389" s="38" t="n">
        <x:v>0.3619</x:v>
      </x:c>
      <x:c r="AA389" s="36" t="n">
        <x:v>38.43</x:v>
      </x:c>
      <x:c r="AB389" s="34" t="n">
        <x:v>4</x:v>
      </x:c>
      <x:c r="AC389" t="str"/>
    </x:row>
    <x:row r="390">
      <x:c r="A390" s="34" t="n">
        <x:v>389</x:v>
      </x:c>
      <x:c r="B390" s="34" t="n">
        <x:v>218</x:v>
      </x:c>
      <x:c r="C390" s="32" t="n">
        <x:v>46153</x:v>
      </x:c>
      <x:c r="D390" t="str">
        <x:v>2026-05</x:v>
      </x:c>
      <x:c r="E390" s="34" t="n">
        <x:v>41</x:v>
      </x:c>
      <x:c r="F390" t="str">
        <x:v>Thiago Costa</x:v>
      </x:c>
      <x:c r="G390" t="str">
        <x:v>SC</x:v>
      </x:c>
      <x:c r="H390" t="str">
        <x:v>Florianópolis</x:v>
      </x:c>
      <x:c r="I390" s="34" t="n">
        <x:v>60</x:v>
      </x:c>
      <x:c r="J390" t="str">
        <x:v>ENTREGUE</x:v>
      </x:c>
      <x:c r="K390" t="str">
        <x:v>Instagram</x:v>
      </x:c>
      <x:c r="L390" t="str">
        <x:v>Pix</x:v>
      </x:c>
      <x:c r="M390" s="34" t="n">
        <x:v>9</x:v>
      </x:c>
      <x:c r="N390" t="str">
        <x:v>SSD 240GB SATA</x:v>
      </x:c>
      <x:c r="O390" t="str">
        <x:v>Armazenamento</x:v>
      </x:c>
      <x:c r="P390" t="str">
        <x:v>Mega Componentes</x:v>
      </x:c>
      <x:c r="Q390" s="34" t="n">
        <x:v>1</x:v>
      </x:c>
      <x:c r="R390" s="36" t="n">
        <x:v>169.9</x:v>
      </x:c>
      <x:c r="S390" s="38" t="n">
        <x:v>0.03</x:v>
      </x:c>
      <x:c r="T390" s="36" t="n">
        <x:v>164.8</x:v>
      </x:c>
      <x:c r="U390" s="36" t="n">
        <x:v>169.9</x:v>
      </x:c>
      <x:c r="V390" s="36" t="n">
        <x:v>5.1</x:v>
      </x:c>
      <x:c r="W390" s="36" t="n">
        <x:v>164.8</x:v>
      </x:c>
      <x:c r="X390" s="36" t="n">
        <x:v>98</x:v>
      </x:c>
      <x:c r="Y390" s="36" t="n">
        <x:v>66.8</x:v>
      </x:c>
      <x:c r="Z390" s="38" t="n">
        <x:v>0.4053</x:v>
      </x:c>
      <x:c r="AA390" s="36" t="n">
        <x:v>38.43</x:v>
      </x:c>
      <x:c r="AB390" s="34" t="n">
        <x:v>4</x:v>
      </x:c>
      <x:c r="AC390" t="str"/>
    </x:row>
    <x:row r="391">
      <x:c r="A391" s="34" t="n">
        <x:v>390</x:v>
      </x:c>
      <x:c r="B391" s="34" t="n">
        <x:v>219</x:v>
      </x:c>
      <x:c r="C391" s="32" t="n">
        <x:v>46163</x:v>
      </x:c>
      <x:c r="D391" t="str">
        <x:v>2026-05</x:v>
      </x:c>
      <x:c r="E391" s="34" t="n">
        <x:v>15</x:v>
      </x:c>
      <x:c r="F391" t="str">
        <x:v>Beatriz Araujo</x:v>
      </x:c>
      <x:c r="G391" t="str">
        <x:v>SP</x:v>
      </x:c>
      <x:c r="H391" t="str">
        <x:v>São José do Rio Preto</x:v>
      </x:c>
      <x:c r="I391" s="34" t="n">
        <x:v>56</x:v>
      </x:c>
      <x:c r="J391" t="str">
        <x:v>EM PROCESSAMENTO</x:v>
      </x:c>
      <x:c r="K391" t="str">
        <x:v>WhatsApp</x:v>
      </x:c>
      <x:c r="L391" t="str">
        <x:v>Cartão crédito</x:v>
      </x:c>
      <x:c r="M391" s="34" t="n">
        <x:v>14</x:v>
      </x:c>
      <x:c r="N391" t="str">
        <x:v>Memória RAM 16GB DDR4</x:v>
      </x:c>
      <x:c r="O391" t="str">
        <x:v>Componentes</x:v>
      </x:c>
      <x:c r="P391" t="str">
        <x:v>Mega Componentes</x:v>
      </x:c>
      <x:c r="Q391" s="34" t="n">
        <x:v>1</x:v>
      </x:c>
      <x:c r="R391" s="36" t="n">
        <x:v>319.9</x:v>
      </x:c>
      <x:c r="S391" s="38" t="n">
        <x:v>0</x:v>
      </x:c>
      <x:c r="T391" s="36" t="n">
        <x:v>319.9</x:v>
      </x:c>
      <x:c r="U391" s="36" t="n">
        <x:v>319.9</x:v>
      </x:c>
      <x:c r="V391" s="36" t="n">
        <x:v>0</x:v>
      </x:c>
      <x:c r="W391" s="36" t="n">
        <x:v>319.9</x:v>
      </x:c>
      <x:c r="X391" s="36" t="n">
        <x:v>198</x:v>
      </x:c>
      <x:c r="Y391" s="36" t="n">
        <x:v>121.9</x:v>
      </x:c>
      <x:c r="Z391" s="38" t="n">
        <x:v>0.3811</x:v>
      </x:c>
      <x:c r="AA391" s="36" t="n">
        <x:v>40.34</x:v>
      </x:c>
      <x:c r="AB391" s="34"/>
      <x:c r="AC391" t="str"/>
    </x:row>
    <x:row r="392">
      <x:c r="A392" s="34" t="n">
        <x:v>391</x:v>
      </x:c>
      <x:c r="B392" s="34" t="n">
        <x:v>219</x:v>
      </x:c>
      <x:c r="C392" s="32" t="n">
        <x:v>46163</x:v>
      </x:c>
      <x:c r="D392" t="str">
        <x:v>2026-05</x:v>
      </x:c>
      <x:c r="E392" s="34" t="n">
        <x:v>15</x:v>
      </x:c>
      <x:c r="F392" t="str">
        <x:v>Beatriz Araujo</x:v>
      </x:c>
      <x:c r="G392" t="str">
        <x:v>SP</x:v>
      </x:c>
      <x:c r="H392" t="str">
        <x:v>São José do Rio Preto</x:v>
      </x:c>
      <x:c r="I392" s="34" t="n">
        <x:v>56</x:v>
      </x:c>
      <x:c r="J392" t="str">
        <x:v>EM PROCESSAMENTO</x:v>
      </x:c>
      <x:c r="K392" t="str">
        <x:v>WhatsApp</x:v>
      </x:c>
      <x:c r="L392" t="str">
        <x:v>Cartão crédito</x:v>
      </x:c>
      <x:c r="M392" s="34" t="n">
        <x:v>6</x:v>
      </x:c>
      <x:c r="N392" t="str">
        <x:v>Cabo HDMI 2m</x:v>
      </x:c>
      <x:c r="O392" t="str">
        <x:v>Acessórios</x:v>
      </x:c>
      <x:c r="P392" t="str">
        <x:v>Prime Eletrônicos</x:v>
      </x:c>
      <x:c r="Q392" s="34" t="n">
        <x:v>1</x:v>
      </x:c>
      <x:c r="R392" s="36" t="n">
        <x:v>29.9</x:v>
      </x:c>
      <x:c r="S392" s="38" t="n">
        <x:v>0</x:v>
      </x:c>
      <x:c r="T392" s="36" t="n">
        <x:v>29.9</x:v>
      </x:c>
      <x:c r="U392" s="36" t="n">
        <x:v>29.9</x:v>
      </x:c>
      <x:c r="V392" s="36" t="n">
        <x:v>0</x:v>
      </x:c>
      <x:c r="W392" s="36" t="n">
        <x:v>29.9</x:v>
      </x:c>
      <x:c r="X392" s="36" t="n">
        <x:v>10</x:v>
      </x:c>
      <x:c r="Y392" s="36" t="n">
        <x:v>19.9</x:v>
      </x:c>
      <x:c r="Z392" s="38" t="n">
        <x:v>0.6656</x:v>
      </x:c>
      <x:c r="AA392" s="36" t="n">
        <x:v>40.34</x:v>
      </x:c>
      <x:c r="AB392" s="34"/>
      <x:c r="AC392" t="str"/>
    </x:row>
    <x:row r="393">
      <x:c r="A393" s="34" t="n">
        <x:v>392</x:v>
      </x:c>
      <x:c r="B393" s="34" t="n">
        <x:v>219</x:v>
      </x:c>
      <x:c r="C393" s="32" t="n">
        <x:v>46163</x:v>
      </x:c>
      <x:c r="D393" t="str">
        <x:v>2026-05</x:v>
      </x:c>
      <x:c r="E393" s="34" t="n">
        <x:v>15</x:v>
      </x:c>
      <x:c r="F393" t="str">
        <x:v>Beatriz Araujo</x:v>
      </x:c>
      <x:c r="G393" t="str">
        <x:v>SP</x:v>
      </x:c>
      <x:c r="H393" t="str">
        <x:v>São José do Rio Preto</x:v>
      </x:c>
      <x:c r="I393" s="34" t="n">
        <x:v>56</x:v>
      </x:c>
      <x:c r="J393" t="str">
        <x:v>EM PROCESSAMENTO</x:v>
      </x:c>
      <x:c r="K393" t="str">
        <x:v>WhatsApp</x:v>
      </x:c>
      <x:c r="L393" t="str">
        <x:v>Cartão crédito</x:v>
      </x:c>
      <x:c r="M393" s="34" t="n">
        <x:v>5</x:v>
      </x:c>
      <x:c r="N393" t="str">
        <x:v>Mousepad Grande</x:v>
      </x:c>
      <x:c r="O393" t="str">
        <x:v>Acessórios</x:v>
      </x:c>
      <x:c r="P393" t="str">
        <x:v>Prime Eletrônicos</x:v>
      </x:c>
      <x:c r="Q393" s="34" t="n">
        <x:v>2</x:v>
      </x:c>
      <x:c r="R393" s="36" t="n">
        <x:v>39.9</x:v>
      </x:c>
      <x:c r="S393" s="38" t="n">
        <x:v>0.1</x:v>
      </x:c>
      <x:c r="T393" s="36" t="n">
        <x:v>35.91</x:v>
      </x:c>
      <x:c r="U393" s="36" t="n">
        <x:v>79.8</x:v>
      </x:c>
      <x:c r="V393" s="36" t="n">
        <x:v>7.98</x:v>
      </x:c>
      <x:c r="W393" s="36" t="n">
        <x:v>71.82</x:v>
      </x:c>
      <x:c r="X393" s="36" t="n">
        <x:v>34</x:v>
      </x:c>
      <x:c r="Y393" s="36" t="n">
        <x:v>37.82</x:v>
      </x:c>
      <x:c r="Z393" s="38" t="n">
        <x:v>0.5266</x:v>
      </x:c>
      <x:c r="AA393" s="36" t="n">
        <x:v>40.34</x:v>
      </x:c>
      <x:c r="AB393" s="34"/>
      <x:c r="AC393" t="str"/>
    </x:row>
    <x:row r="394">
      <x:c r="A394" s="34" t="n">
        <x:v>393</x:v>
      </x:c>
      <x:c r="B394" s="34" t="n">
        <x:v>220</x:v>
      </x:c>
      <x:c r="C394" s="32" t="n">
        <x:v>46106</x:v>
      </x:c>
      <x:c r="D394" t="str">
        <x:v>2026-03</x:v>
      </x:c>
      <x:c r="E394" s="34" t="n">
        <x:v>3</x:v>
      </x:c>
      <x:c r="F394" t="str">
        <x:v>Matheus Almeida</x:v>
      </x:c>
      <x:c r="G394" t="str">
        <x:v>SP</x:v>
      </x:c>
      <x:c r="H394" t="str">
        <x:v>Votuporanga</x:v>
      </x:c>
      <x:c r="I394" s="34" t="n">
        <x:v>23</x:v>
      </x:c>
      <x:c r="J394" t="str">
        <x:v>ENVIADO</x:v>
      </x:c>
      <x:c r="K394" t="str">
        <x:v>WhatsApp</x:v>
      </x:c>
      <x:c r="L394" t="str">
        <x:v>Cartão débito</x:v>
      </x:c>
      <x:c r="M394" s="34" t="n">
        <x:v>6</x:v>
      </x:c>
      <x:c r="N394" t="str">
        <x:v>Cabo HDMI 2m</x:v>
      </x:c>
      <x:c r="O394" t="str">
        <x:v>Acessórios</x:v>
      </x:c>
      <x:c r="P394" t="str">
        <x:v>Prime Eletrônicos</x:v>
      </x:c>
      <x:c r="Q394" s="34" t="n">
        <x:v>1</x:v>
      </x:c>
      <x:c r="R394" s="36" t="n">
        <x:v>29.9</x:v>
      </x:c>
      <x:c r="S394" s="38" t="n">
        <x:v>0.08</x:v>
      </x:c>
      <x:c r="T394" s="36" t="n">
        <x:v>27.51</x:v>
      </x:c>
      <x:c r="U394" s="36" t="n">
        <x:v>29.9</x:v>
      </x:c>
      <x:c r="V394" s="36" t="n">
        <x:v>2.39</x:v>
      </x:c>
      <x:c r="W394" s="36" t="n">
        <x:v>27.51</x:v>
      </x:c>
      <x:c r="X394" s="36" t="n">
        <x:v>10</x:v>
      </x:c>
      <x:c r="Y394" s="36" t="n">
        <x:v>17.51</x:v>
      </x:c>
      <x:c r="Z394" s="38" t="n">
        <x:v>0.6365</x:v>
      </x:c>
      <x:c r="AA394" s="36" t="n">
        <x:v>26.14</x:v>
      </x:c>
      <x:c r="AB394" s="34" t="n">
        <x:v>7</x:v>
      </x:c>
      <x:c r="AC394" t="str"/>
    </x:row>
    <x:row r="395">
      <x:c r="A395" s="34" t="n">
        <x:v>394</x:v>
      </x:c>
      <x:c r="B395" s="34" t="n">
        <x:v>220</x:v>
      </x:c>
      <x:c r="C395" s="32" t="n">
        <x:v>46106</x:v>
      </x:c>
      <x:c r="D395" t="str">
        <x:v>2026-03</x:v>
      </x:c>
      <x:c r="E395" s="34" t="n">
        <x:v>3</x:v>
      </x:c>
      <x:c r="F395" t="str">
        <x:v>Matheus Almeida</x:v>
      </x:c>
      <x:c r="G395" t="str">
        <x:v>SP</x:v>
      </x:c>
      <x:c r="H395" t="str">
        <x:v>Votuporanga</x:v>
      </x:c>
      <x:c r="I395" s="34" t="n">
        <x:v>23</x:v>
      </x:c>
      <x:c r="J395" t="str">
        <x:v>ENVIADO</x:v>
      </x:c>
      <x:c r="K395" t="str">
        <x:v>WhatsApp</x:v>
      </x:c>
      <x:c r="L395" t="str">
        <x:v>Cartão débito</x:v>
      </x:c>
      <x:c r="M395" s="34" t="n">
        <x:v>27</x:v>
      </x:c>
      <x:c r="N395" t="str">
        <x:v>Placa de Rede PCIe</x:v>
      </x:c>
      <x:c r="O395" t="str">
        <x:v>Rede</x:v>
      </x:c>
      <x:c r="P395" t="str">
        <x:v>Connect Rede</x:v>
      </x:c>
      <x:c r="Q395" s="34" t="n">
        <x:v>1</x:v>
      </x:c>
      <x:c r="R395" s="36" t="n">
        <x:v>79.9</x:v>
      </x:c>
      <x:c r="S395" s="38" t="n">
        <x:v>0</x:v>
      </x:c>
      <x:c r="T395" s="36" t="n">
        <x:v>79.9</x:v>
      </x:c>
      <x:c r="U395" s="36" t="n">
        <x:v>79.9</x:v>
      </x:c>
      <x:c r="V395" s="36" t="n">
        <x:v>0</x:v>
      </x:c>
      <x:c r="W395" s="36" t="n">
        <x:v>79.9</x:v>
      </x:c>
      <x:c r="X395" s="36" t="n">
        <x:v>37</x:v>
      </x:c>
      <x:c r="Y395" s="36" t="n">
        <x:v>42.9</x:v>
      </x:c>
      <x:c r="Z395" s="38" t="n">
        <x:v>0.5369</x:v>
      </x:c>
      <x:c r="AA395" s="36" t="n">
        <x:v>26.14</x:v>
      </x:c>
      <x:c r="AB395" s="34" t="n">
        <x:v>7</x:v>
      </x:c>
      <x:c r="AC395" t="str"/>
    </x:row>
  </x:sheetData>
  <x:pageMargins left="0.7" right="0.7" top="0.75" bottom="0.75" header="0.3" footer="0.3"/>
  <x:tableParts count="1">
    <x:tablePart xmlns:r="http://schemas.openxmlformats.org/officeDocument/2006/relationships" r:id="Rdb246e84417a4f0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.84000015258789" hidden="0" customWidth="1"/>
    <x:col min="2" max="2" width="25.979999542236328" hidden="0" customWidth="1"/>
    <x:col min="3" max="3" width="19.520000457763672" hidden="0" customWidth="1"/>
    <x:col min="4" max="4" width="19.520000457763672" hidden="0" customWidth="1"/>
    <x:col min="5" max="5" width="18.56999969482422" hidden="0" customWidth="1"/>
    <x:col min="6" max="6" width="12.920000076293945" hidden="0" customWidth="1"/>
    <x:col min="7" max="7" width="13.0600004196167" hidden="0" customWidth="1"/>
    <x:col min="8" max="8" width="35.79999923706055" hidden="0" customWidth="1"/>
    <x:col min="9" max="9" width="19.520000457763672" hidden="0" customWidth="1"/>
    <x:col min="10" max="10" width="19.520000457763672" hidden="0" customWidth="1"/>
    <x:col min="11" max="11" width="21.530000686645508" hidden="0" customWidth="1"/>
  </x:cols>
  <x:sheetData>
    <x:row r="1">
      <x:c r="A1" s="5" t="str">
        <x:v>Resumo Mensal</x:v>
      </x:c>
      <x:c r="B1" t="str">
        <x:v>Resumo Mensal</x:v>
      </x:c>
      <x:c r="C1" t="str">
        <x:v>Resumo Mensal</x:v>
      </x:c>
      <x:c r="D1" t="str">
        <x:v>Resumo Mensal</x:v>
      </x:c>
      <x:c r="E1" t="str">
        <x:v>Resumo Mensal</x:v>
      </x:c>
      <x:c r="F1" t="str">
        <x:v>Resumo Mensal</x:v>
      </x:c>
      <x:c r="G1" t="str">
        <x:v>Resumo Mensal</x:v>
      </x:c>
      <x:c r="H1" t="str">
        <x:v>Resumo Mensal</x:v>
      </x:c>
      <x:c r="I1" t="str">
        <x:v>Resumo Mensal</x:v>
      </x:c>
      <x:c r="J1" t="str">
        <x:v>Resumo Mensal</x:v>
      </x:c>
    </x:row>
    <x:row r="2">
      <x:c r="A2" s="26" t="str">
        <x:v>mes</x:v>
      </x:c>
      <x:c r="B2" s="26" t="str">
        <x:v>pedidos</x:v>
      </x:c>
      <x:c r="C2" s="26" t="str">
        <x:v>pedidos_entregues</x:v>
      </x:c>
      <x:c r="D2" s="26" t="str">
        <x:v>cancelados</x:v>
      </x:c>
      <x:c r="E2" s="26" t="str">
        <x:v>taxa_cancelamento</x:v>
      </x:c>
      <x:c r="F2" s="26" t="str">
        <x:v>qtd_itens</x:v>
      </x:c>
      <x:c r="G2" s="26" t="str">
        <x:v>receita_total</x:v>
      </x:c>
      <x:c r="H2" s="26" t="str">
        <x:v>ticket_medio</x:v>
      </x:c>
      <x:c r="I2" s="26" t="str">
        <x:v>lucro_total</x:v>
      </x:c>
      <x:c r="J2" s="26" t="str">
        <x:v>margem_media_pct</x:v>
      </x:c>
    </x:row>
    <x:row r="3">
      <x:c r="A3" t="str">
        <x:v>2026-01</x:v>
      </x:c>
      <x:c r="B3" t="n">
        <x:v>24</x:v>
      </x:c>
      <x:c r="C3" t="n">
        <x:v>16</x:v>
      </x:c>
      <x:c r="D3" t="n">
        <x:v>0</x:v>
      </x:c>
      <x:c r="E3" s="38" t="n">
        <x:v>0</x:v>
      </x:c>
      <x:c r="F3" t="n">
        <x:v>67</x:v>
      </x:c>
      <x:c r="G3" s="36" t="n">
        <x:v>10772.32</x:v>
      </x:c>
      <x:c r="H3" s="36" t="n">
        <x:v>448.85</x:v>
      </x:c>
      <x:c r="I3" s="36" t="n">
        <x:v>4159.32</x:v>
      </x:c>
      <x:c r="J3" s="38" t="n">
        <x:v>0.3861</x:v>
      </x:c>
    </x:row>
    <x:row r="4">
      <x:c r="A4" t="str">
        <x:v>2026-02</x:v>
      </x:c>
      <x:c r="B4" t="n">
        <x:v>29</x:v>
      </x:c>
      <x:c r="C4" t="n">
        <x:v>22</x:v>
      </x:c>
      <x:c r="D4" t="n">
        <x:v>2</x:v>
      </x:c>
      <x:c r="E4" s="38" t="n">
        <x:v>0.069</x:v>
      </x:c>
      <x:c r="F4" t="n">
        <x:v>95</x:v>
      </x:c>
      <x:c r="G4" s="36" t="n">
        <x:v>15337.22</x:v>
      </x:c>
      <x:c r="H4" s="36" t="n">
        <x:v>568.05</x:v>
      </x:c>
      <x:c r="I4" s="36" t="n">
        <x:v>5779.22</x:v>
      </x:c>
      <x:c r="J4" s="38" t="n">
        <x:v>0.3768</x:v>
      </x:c>
    </x:row>
    <x:row r="5">
      <x:c r="A5" t="str">
        <x:v>2026-03</x:v>
      </x:c>
      <x:c r="B5" t="n">
        <x:v>34</x:v>
      </x:c>
      <x:c r="C5" t="n">
        <x:v>21</x:v>
      </x:c>
      <x:c r="D5" t="n">
        <x:v>3</x:v>
      </x:c>
      <x:c r="E5" s="38" t="n">
        <x:v>0.0882</x:v>
      </x:c>
      <x:c r="F5" t="n">
        <x:v>73</x:v>
      </x:c>
      <x:c r="G5" s="36" t="n">
        <x:v>8744.8</x:v>
      </x:c>
      <x:c r="H5" s="36" t="n">
        <x:v>282.09</x:v>
      </x:c>
      <x:c r="I5" s="36" t="n">
        <x:v>3483.8</x:v>
      </x:c>
      <x:c r="J5" s="38" t="n">
        <x:v>0.3984</x:v>
      </x:c>
    </x:row>
    <x:row r="6">
      <x:c r="A6" t="str">
        <x:v>2026-04</x:v>
      </x:c>
      <x:c r="B6" t="n">
        <x:v>38</x:v>
      </x:c>
      <x:c r="C6" t="n">
        <x:v>27</x:v>
      </x:c>
      <x:c r="D6" t="n">
        <x:v>4</x:v>
      </x:c>
      <x:c r="E6" s="38" t="n">
        <x:v>0.1053</x:v>
      </x:c>
      <x:c r="F6" t="n">
        <x:v>104</x:v>
      </x:c>
      <x:c r="G6" s="36" t="n">
        <x:v>16366.6</x:v>
      </x:c>
      <x:c r="H6" s="36" t="n">
        <x:v>481.37</x:v>
      </x:c>
      <x:c r="I6" s="36" t="n">
        <x:v>5580.6</x:v>
      </x:c>
      <x:c r="J6" s="38" t="n">
        <x:v>0.341</x:v>
      </x:c>
    </x:row>
    <x:row r="7">
      <x:c r="A7" t="str">
        <x:v>2026-05</x:v>
      </x:c>
      <x:c r="B7" t="n">
        <x:v>45</x:v>
      </x:c>
      <x:c r="C7" t="n">
        <x:v>32</x:v>
      </x:c>
      <x:c r="D7" t="n">
        <x:v>1</x:v>
      </x:c>
      <x:c r="E7" s="38" t="n">
        <x:v>0.0222</x:v>
      </x:c>
      <x:c r="F7" t="n">
        <x:v>121</x:v>
      </x:c>
      <x:c r="G7" s="36" t="n">
        <x:v>20839.55</x:v>
      </x:c>
      <x:c r="H7" s="36" t="n">
        <x:v>473.63</x:v>
      </x:c>
      <x:c r="I7" s="36" t="n">
        <x:v>7956.55</x:v>
      </x:c>
      <x:c r="J7" s="38" t="n">
        <x:v>0.3818</x:v>
      </x:c>
    </x:row>
    <x:row r="8">
      <x:c r="A8" t="str">
        <x:v>2026-06</x:v>
      </x:c>
      <x:c r="B8" t="n">
        <x:v>50</x:v>
      </x:c>
      <x:c r="C8" t="n">
        <x:v>23</x:v>
      </x:c>
      <x:c r="D8" t="n">
        <x:v>2</x:v>
      </x:c>
      <x:c r="E8" s="38" t="n">
        <x:v>0.04</x:v>
      </x:c>
      <x:c r="F8" t="n">
        <x:v>109</x:v>
      </x:c>
      <x:c r="G8" s="36" t="n">
        <x:v>24064.93</x:v>
      </x:c>
      <x:c r="H8" s="36" t="n">
        <x:v>501.35</x:v>
      </x:c>
      <x:c r="I8" s="36" t="n">
        <x:v>8097.93</x:v>
      </x:c>
      <x:c r="J8" s="38" t="n">
        <x:v>0.3365</x:v>
      </x:c>
    </x:row>
    <x:row r="12">
      <x:c r="A12" s="5" t="str">
        <x:v>Resumo por Categoria</x:v>
      </x:c>
      <x:c r="B12" t="str"/>
      <x:c r="C12" t="str"/>
      <x:c r="D12" t="str"/>
      <x:c r="E12" t="str"/>
      <x:c r="F12" t="str"/>
      <x:c r="I12" s="5" t="str">
        <x:v>Resumo por Status</x:v>
      </x:c>
      <x:c r="J12" t="str"/>
      <x:c r="K12" t="str"/>
    </x:row>
    <x:row r="13">
      <x:c r="A13" s="26" t="str">
        <x:v>categoria</x:v>
      </x:c>
      <x:c r="B13" s="26" t="str">
        <x:v>pedidos_com_categoria</x:v>
      </x:c>
      <x:c r="C13" s="26" t="str">
        <x:v>quantidade_vendida</x:v>
      </x:c>
      <x:c r="D13" s="26" t="str">
        <x:v>receita_total</x:v>
      </x:c>
      <x:c r="E13" s="26" t="str">
        <x:v>lucro_total</x:v>
      </x:c>
      <x:c r="F13" s="26" t="str">
        <x:v>margem_pct</x:v>
      </x:c>
      <x:c r="I13" s="26" t="str">
        <x:v>status_pedido</x:v>
      </x:c>
      <x:c r="J13" s="26" t="str">
        <x:v>quantidade_pedidos</x:v>
      </x:c>
      <x:c r="K13" s="26" t="str">
        <x:v>percentual</x:v>
      </x:c>
    </x:row>
    <x:row r="14">
      <x:c r="A14" t="str">
        <x:v>Componentes</x:v>
      </x:c>
      <x:c r="B14" t="n">
        <x:v>57</x:v>
      </x:c>
      <x:c r="C14" t="n">
        <x:v>82</x:v>
      </x:c>
      <x:c r="D14" s="36" t="n">
        <x:v>25710.87</x:v>
      </x:c>
      <x:c r="E14" s="36" t="n">
        <x:v>7592.87</x:v>
      </x:c>
      <x:c r="F14" s="38" t="n">
        <x:v>0.2953</x:v>
      </x:c>
      <x:c r="I14" t="str">
        <x:v>PENDENTE</x:v>
      </x:c>
      <x:c r="J14" t="n">
        <x:v>12</x:v>
      </x:c>
      <x:c r="K14" s="38" t="n">
        <x:v>0.0545</x:v>
      </x:c>
    </x:row>
    <x:row r="15">
      <x:c r="A15" t="str">
        <x:v>Armazenamento</x:v>
      </x:c>
      <x:c r="B15" t="n">
        <x:v>42</x:v>
      </x:c>
      <x:c r="C15" t="n">
        <x:v>63</x:v>
      </x:c>
      <x:c r="D15" s="36" t="n">
        <x:v>16293.89</x:v>
      </x:c>
      <x:c r="E15" s="36" t="n">
        <x:v>5819.89</x:v>
      </x:c>
      <x:c r="F15" s="38" t="n">
        <x:v>0.3572</x:v>
      </x:c>
      <x:c r="I15" t="str">
        <x:v>EM PROCESSAMENTO</x:v>
      </x:c>
      <x:c r="J15" t="n">
        <x:v>24</x:v>
      </x:c>
      <x:c r="K15" s="38" t="n">
        <x:v>0.1091</x:v>
      </x:c>
    </x:row>
    <x:row r="16">
      <x:c r="A16" t="str">
        <x:v>Rede</x:v>
      </x:c>
      <x:c r="B16" t="n">
        <x:v>76</x:v>
      </x:c>
      <x:c r="C16" t="n">
        <x:v>113</x:v>
      </x:c>
      <x:c r="D16" s="36" t="n">
        <x:v>15606.16</x:v>
      </x:c>
      <x:c r="E16" s="36" t="n">
        <x:v>7131.16</x:v>
      </x:c>
      <x:c r="F16" s="38" t="n">
        <x:v>0.4569</x:v>
      </x:c>
      <x:c r="I16" t="str">
        <x:v>ENVIADO</x:v>
      </x:c>
      <x:c r="J16" t="n">
        <x:v>31</x:v>
      </x:c>
      <x:c r="K16" s="38" t="n">
        <x:v>0.1409</x:v>
      </x:c>
    </x:row>
    <x:row r="17">
      <x:c r="A17" t="str">
        <x:v>Acessórios</x:v>
      </x:c>
      <x:c r="B17" t="n">
        <x:v>86</x:v>
      </x:c>
      <x:c r="C17" t="n">
        <x:v>179</x:v>
      </x:c>
      <x:c r="D17" s="36" t="n">
        <x:v>12142.33</x:v>
      </x:c>
      <x:c r="E17" s="36" t="n">
        <x:v>6400.33</x:v>
      </x:c>
      <x:c r="F17" s="38" t="n">
        <x:v>0.5271</x:v>
      </x:c>
      <x:c r="I17" t="str">
        <x:v>ENTREGUE</x:v>
      </x:c>
      <x:c r="J17" t="n">
        <x:v>141</x:v>
      </x:c>
      <x:c r="K17" s="38" t="n">
        <x:v>0.6409</x:v>
      </x:c>
    </x:row>
    <x:row r="18">
      <x:c r="A18" t="str">
        <x:v>Periféricos</x:v>
      </x:c>
      <x:c r="B18" t="n">
        <x:v>75</x:v>
      </x:c>
      <x:c r="C18" t="n">
        <x:v>110</x:v>
      </x:c>
      <x:c r="D18" s="36" t="n">
        <x:v>10681.19</x:v>
      </x:c>
      <x:c r="E18" s="36" t="n">
        <x:v>4773.19</x:v>
      </x:c>
      <x:c r="F18" s="38" t="n">
        <x:v>0.4469</x:v>
      </x:c>
      <x:c r="I18" t="str">
        <x:v>CANCELADO</x:v>
      </x:c>
      <x:c r="J18" t="n">
        <x:v>12</x:v>
      </x:c>
      <x:c r="K18" s="38" t="n">
        <x:v>0.0545</x:v>
      </x:c>
    </x:row>
    <x:row r="19">
      <x:c r="A19" t="str">
        <x:v>Monitores</x:v>
      </x:c>
      <x:c r="B19" t="n">
        <x:v>13</x:v>
      </x:c>
      <x:c r="C19" t="n">
        <x:v>13</x:v>
      </x:c>
      <x:c r="D19" s="36" t="n">
        <x:v>9808.43</x:v>
      </x:c>
      <x:c r="E19" s="36" t="n">
        <x:v>2323.43</x:v>
      </x:c>
      <x:c r="F19" s="38" t="n">
        <x:v>0.2369</x:v>
      </x:c>
      <x:c r="K19" s="38"/>
    </x:row>
    <x:row r="20">
      <x:c r="A20" t="str">
        <x:v>Office</x:v>
      </x:c>
      <x:c r="B20" t="n">
        <x:v>4</x:v>
      </x:c>
      <x:c r="C20" t="n">
        <x:v>8</x:v>
      </x:c>
      <x:c r="D20" s="36" t="n">
        <x:v>3770.64</x:v>
      </x:c>
      <x:c r="E20" s="36" t="n">
        <x:v>884.64</x:v>
      </x:c>
      <x:c r="F20" s="38" t="n">
        <x:v>0.2346</x:v>
      </x:c>
    </x:row>
    <x:row r="21">
      <x:c r="A21" t="str">
        <x:v>Notebooks</x:v>
      </x:c>
      <x:c r="B21" t="n">
        <x:v>1</x:v>
      </x:c>
      <x:c r="C21" t="n">
        <x:v>1</x:v>
      </x:c>
      <x:c r="D21" s="36" t="n">
        <x:v>2111.91</x:v>
      </x:c>
      <x:c r="E21" s="36" t="n">
        <x:v>131.91</x:v>
      </x:c>
      <x:c r="F21" s="38" t="n">
        <x:v>0.0625</x:v>
      </x:c>
    </x:row>
    <x:row r="24">
      <x:c r="A24" s="5" t="str">
        <x:v>Distribuição de Frequência - Ticket do Pedido</x:v>
      </x:c>
      <x:c r="B24" t="str"/>
      <x:c r="C24" t="str"/>
      <x:c r="D24" t="str"/>
      <x:c r="E24" t="str"/>
      <x:c r="H24" s="5" t="str">
        <x:v>Pareto - Motivos de Cancelamento</x:v>
      </x:c>
      <x:c r="I24" t="str"/>
      <x:c r="J24" t="str"/>
      <x:c r="K24" t="str"/>
    </x:row>
    <x:row r="25">
      <x:c r="A25" s="26" t="str">
        <x:v>classe_ticket</x:v>
      </x:c>
      <x:c r="B25" s="26" t="str">
        <x:v>limite_inferior</x:v>
      </x:c>
      <x:c r="C25" s="26" t="str">
        <x:v>limite_superior</x:v>
      </x:c>
      <x:c r="D25" s="26" t="str">
        <x:v>frequencia</x:v>
      </x:c>
      <x:c r="E25" s="26" t="str">
        <x:v>frequencia_relativa</x:v>
      </x:c>
      <x:c r="H25" s="26" t="str">
        <x:v>motivo_cancelamento</x:v>
      </x:c>
      <x:c r="I25" s="26" t="str">
        <x:v>quantidade</x:v>
      </x:c>
      <x:c r="J25" s="26" t="str">
        <x:v>percentual</x:v>
      </x:c>
      <x:c r="K25" s="26" t="str">
        <x:v>percentual_acumulado</x:v>
      </x:c>
    </x:row>
    <x:row r="26">
      <x:c r="A26" t="str">
        <x:v>R$ 0 a R$ 499</x:v>
      </x:c>
      <x:c r="B26" t="n">
        <x:v>0</x:v>
      </x:c>
      <x:c r="C26" t="n">
        <x:v>499.99</x:v>
      </x:c>
      <x:c r="D26" t="n">
        <x:v>163</x:v>
      </x:c>
      <x:c r="E26" t="n">
        <x:v>0.7409</x:v>
      </x:c>
      <x:c r="H26" t="str">
        <x:v>Produto indisponível</x:v>
      </x:c>
      <x:c r="I26" t="n">
        <x:v>4</x:v>
      </x:c>
      <x:c r="J26" t="n">
        <x:v>0.3333</x:v>
      </x:c>
      <x:c r="K26" t="n">
        <x:v>0.3333</x:v>
      </x:c>
    </x:row>
    <x:row r="27">
      <x:c r="A27" t="str">
        <x:v>R$ 500 a R$ 999</x:v>
      </x:c>
      <x:c r="B27" t="n">
        <x:v>500</x:v>
      </x:c>
      <x:c r="C27" s="36" t="n">
        <x:v>999.99</x:v>
      </x:c>
      <x:c r="D27" s="36" t="n">
        <x:v>30</x:v>
      </x:c>
      <x:c r="E27" s="38" t="n">
        <x:v>0.1364</x:v>
      </x:c>
      <x:c r="H27" t="str">
        <x:v>Falha na aprovação do pedido</x:v>
      </x:c>
      <x:c r="I27" s="36" t="n">
        <x:v>4</x:v>
      </x:c>
      <x:c r="J27" s="38" t="n">
        <x:v>0.3333</x:v>
      </x:c>
      <x:c r="K27" s="38" t="n">
        <x:v>0.6667</x:v>
      </x:c>
    </x:row>
    <x:row r="28">
      <x:c r="A28" t="str">
        <x:v>R$ 1.000 a R$ 1.499</x:v>
      </x:c>
      <x:c r="B28" t="n">
        <x:v>1000</x:v>
      </x:c>
      <x:c r="C28" s="36" t="n">
        <x:v>1499.99</x:v>
      </x:c>
      <x:c r="D28" s="36" t="n">
        <x:v>18</x:v>
      </x:c>
      <x:c r="E28" s="38" t="n">
        <x:v>0.0818</x:v>
      </x:c>
      <x:c r="H28" t="str">
        <x:v>Falta de estoque</x:v>
      </x:c>
      <x:c r="I28" s="36" t="n">
        <x:v>3</x:v>
      </x:c>
      <x:c r="J28" s="38" t="n">
        <x:v>0.25</x:v>
      </x:c>
      <x:c r="K28" s="38" t="n">
        <x:v>0.9167</x:v>
      </x:c>
    </x:row>
    <x:row r="29">
      <x:c r="A29" t="str">
        <x:v>R$ 1.500 a R$ 1.999</x:v>
      </x:c>
      <x:c r="B29" t="n">
        <x:v>1500</x:v>
      </x:c>
      <x:c r="C29" s="36" t="n">
        <x:v>1999.99</x:v>
      </x:c>
      <x:c r="D29" s="36" t="n">
        <x:v>5</x:v>
      </x:c>
      <x:c r="E29" s="38" t="n">
        <x:v>0.0227</x:v>
      </x:c>
      <x:c r="H29" t="str">
        <x:v>Erro de endereço</x:v>
      </x:c>
      <x:c r="I29" s="36" t="n">
        <x:v>1</x:v>
      </x:c>
      <x:c r="J29" s="38" t="n">
        <x:v>0.0833</x:v>
      </x:c>
      <x:c r="K29" s="38" t="n">
        <x:v>1</x:v>
      </x:c>
    </x:row>
    <x:row r="30">
      <x:c r="A30" t="str">
        <x:v>R$ 2.000 a R$ 2.999</x:v>
      </x:c>
      <x:c r="B30" t="n">
        <x:v>2000</x:v>
      </x:c>
      <x:c r="C30" s="36" t="n">
        <x:v>2999.99</x:v>
      </x:c>
      <x:c r="D30" s="36" t="n">
        <x:v>4</x:v>
      </x:c>
      <x:c r="E30" s="38" t="n">
        <x:v>0.0182</x:v>
      </x:c>
      <x:c r="I30" s="36"/>
      <x:c r="J30" s="38"/>
      <x:c r="K30" s="38"/>
    </x:row>
    <x:row r="31">
      <x:c r="A31" t="str">
        <x:v>R$ 3.000 ou mais</x:v>
      </x:c>
      <x:c r="B31" t="n">
        <x:v>3000</x:v>
      </x:c>
      <x:c r="C31" s="36" t="str"/>
      <x:c r="D31" s="36" t="n">
        <x:v>0</x:v>
      </x:c>
      <x:c r="E31" s="38" t="n">
        <x:v>0</x:v>
      </x:c>
      <x:c r="I31" s="36"/>
      <x:c r="J31" s="38"/>
      <x:c r="K31" s="38"/>
    </x:row>
    <x:row r="32">
      <x:c r="C32" s="36"/>
      <x:c r="D32" s="36"/>
      <x:c r="E32" s="38"/>
    </x:row>
    <x:row r="38">
      <x:c r="A38" s="5" t="str">
        <x:v>Top 10 Produtos por Receita</x:v>
      </x:c>
      <x:c r="B38" t="str"/>
      <x:c r="C38" t="str"/>
      <x:c r="D38" t="str"/>
      <x:c r="E38" t="str"/>
      <x:c r="F38" t="str"/>
      <x:c r="G38" t="str"/>
    </x:row>
    <x:row r="39">
      <x:c r="A39" s="26" t="str">
        <x:v>produto_id</x:v>
      </x:c>
      <x:c r="B39" s="26" t="str">
        <x:v>produto</x:v>
      </x:c>
      <x:c r="C39" s="26" t="str">
        <x:v>categoria</x:v>
      </x:c>
      <x:c r="D39" s="26" t="str">
        <x:v>quantidade_vendida</x:v>
      </x:c>
      <x:c r="E39" s="26" t="str">
        <x:v>receita_total</x:v>
      </x:c>
      <x:c r="F39" s="26" t="str">
        <x:v>lucro_total</x:v>
      </x:c>
      <x:c r="G39" s="26" t="str">
        <x:v>margem_pct</x:v>
      </x:c>
    </x:row>
    <x:row r="40">
      <x:c r="A40" t="n">
        <x:v>17</x:v>
      </x:c>
      <x:c r="B40" t="str">
        <x:v>Processador Ryzen 5</x:v>
      </x:c>
      <x:c r="C40" t="str">
        <x:v>Componentes</x:v>
      </x:c>
      <x:c r="D40" t="n">
        <x:v>9</x:v>
      </x:c>
      <x:c r="E40" s="36" t="n">
        <x:v>7015.1</x:v>
      </x:c>
      <x:c r="F40" s="36" t="n">
        <x:v>1507.1</x:v>
      </x:c>
      <x:c r="G40" s="38" t="n">
        <x:v>0.2148</x:v>
      </x:c>
    </x:row>
    <x:row r="41">
      <x:c r="A41" t="n">
        <x:v>25</x:v>
      </x:c>
      <x:c r="B41" t="str">
        <x:v>Roteador Wi-Fi AC1200</x:v>
      </x:c>
      <x:c r="C41" t="str">
        <x:v>Rede</x:v>
      </x:c>
      <x:c r="D41" t="n">
        <x:v>30</x:v>
      </x:c>
      <x:c r="E41" s="36" t="n">
        <x:v>6379.96</x:v>
      </x:c>
      <x:c r="F41" s="36" t="n">
        <x:v>2609.96</x:v>
      </x:c>
      <x:c r="G41" s="38" t="n">
        <x:v>0.4091</x:v>
      </x:c>
    </x:row>
    <x:row r="42">
      <x:c r="A42" t="n">
        <x:v>16</x:v>
      </x:c>
      <x:c r="B42" t="str">
        <x:v>Placa de Vídeo GTX 1650</x:v>
      </x:c>
      <x:c r="C42" t="str">
        <x:v>Componentes</x:v>
      </x:c>
      <x:c r="D42" t="n">
        <x:v>7</x:v>
      </x:c>
      <x:c r="E42" s="36" t="n">
        <x:v>6307.33</x:v>
      </x:c>
      <x:c r="F42" s="36" t="n">
        <x:v>1162.33</x:v>
      </x:c>
      <x:c r="G42" s="38" t="n">
        <x:v>0.1843</x:v>
      </x:c>
    </x:row>
    <x:row r="43">
      <x:c r="A43" t="n">
        <x:v>11</x:v>
      </x:c>
      <x:c r="B43" t="str">
        <x:v>SSD NVMe 500GB</x:v>
      </x:c>
      <x:c r="C43" t="str">
        <x:v>Armazenamento</x:v>
      </x:c>
      <x:c r="D43" t="n">
        <x:v>18</x:v>
      </x:c>
      <x:c r="E43" s="36" t="n">
        <x:v>5703.96</x:v>
      </x:c>
      <x:c r="F43" s="36" t="n">
        <x:v>2013.96</x:v>
      </x:c>
      <x:c r="G43" s="38" t="n">
        <x:v>0.3531</x:v>
      </x:c>
    </x:row>
    <x:row r="44">
      <x:c r="A44" t="n">
        <x:v>8</x:v>
      </x:c>
      <x:c r="B44" t="str">
        <x:v>Suporte Articulado para Monitor</x:v>
      </x:c>
      <x:c r="C44" t="str">
        <x:v>Acessórios</x:v>
      </x:c>
      <x:c r="D44" t="n">
        <x:v>36</x:v>
      </x:c>
      <x:c r="E44" s="36" t="n">
        <x:v>5165.58</x:v>
      </x:c>
      <x:c r="F44" s="36" t="n">
        <x:v>2537.58</x:v>
      </x:c>
      <x:c r="G44" s="38" t="n">
        <x:v>0.4912</x:v>
      </x:c>
    </x:row>
    <x:row r="45">
      <x:c r="A45" t="n">
        <x:v>10</x:v>
      </x:c>
      <x:c r="B45" t="str">
        <x:v>SSD 480GB SATA</x:v>
      </x:c>
      <x:c r="C45" t="str">
        <x:v>Armazenamento</x:v>
      </x:c>
      <x:c r="D45" t="n">
        <x:v>20</x:v>
      </x:c>
      <x:c r="E45" s="36" t="n">
        <x:v>4670.35</x:v>
      </x:c>
      <x:c r="F45" s="36" t="n">
        <x:v>1668.35</x:v>
      </x:c>
      <x:c r="G45" s="38" t="n">
        <x:v>0.3572</x:v>
      </x:c>
    </x:row>
    <x:row r="46">
      <x:c r="A46" t="n">
        <x:v>28</x:v>
      </x:c>
      <x:c r="B46" t="str">
        <x:v>Repetidor Wi-Fi</x:v>
      </x:c>
      <x:c r="C46" t="str">
        <x:v>Rede</x:v>
      </x:c>
      <x:c r="D46" t="n">
        <x:v>34</x:v>
      </x:c>
      <x:c r="E46" s="36" t="n">
        <x:v>4450.22</x:v>
      </x:c>
      <x:c r="F46" s="36" t="n">
        <x:v>2173.22</x:v>
      </x:c>
      <x:c r="G46" s="38" t="n">
        <x:v>0.4883</x:v>
      </x:c>
    </x:row>
    <x:row r="47">
      <x:c r="A47" t="n">
        <x:v>20</x:v>
      </x:c>
      <x:c r="B47" t="str">
        <x:v>Monitor IPS 24"</x:v>
      </x:c>
      <x:c r="C47" t="str">
        <x:v>Monitores</x:v>
      </x:c>
      <x:c r="D47" t="n">
        <x:v>5</x:v>
      </x:c>
      <x:c r="E47" s="36" t="n">
        <x:v>4445.5</x:v>
      </x:c>
      <x:c r="F47" s="36" t="n">
        <x:v>1120.5</x:v>
      </x:c>
      <x:c r="G47" s="38" t="n">
        <x:v>0.2521</x:v>
      </x:c>
    </x:row>
    <x:row r="48">
      <x:c r="A48" t="n">
        <x:v>14</x:v>
      </x:c>
      <x:c r="B48" t="str">
        <x:v>Memória RAM 16GB DDR4</x:v>
      </x:c>
      <x:c r="C48" t="str">
        <x:v>Componentes</x:v>
      </x:c>
      <x:c r="D48" t="n">
        <x:v>13</x:v>
      </x:c>
      <x:c r="E48" s="36" t="n">
        <x:v>3960.35</x:v>
      </x:c>
      <x:c r="F48" s="36" t="n">
        <x:v>1386.35</x:v>
      </x:c>
      <x:c r="G48" s="38" t="n">
        <x:v>0.3501</x:v>
      </x:c>
    </x:row>
    <x:row r="49">
      <x:c r="A49" t="n">
        <x:v>15</x:v>
      </x:c>
      <x:c r="B49" t="str">
        <x:v>Fonte 500W 80 Plus</x:v>
      </x:c>
      <x:c r="C49" t="str">
        <x:v>Componentes</x:v>
      </x:c>
      <x:c r="D49" t="n">
        <x:v>14</x:v>
      </x:c>
      <x:c r="E49" s="36" t="n">
        <x:v>3948.43</x:v>
      </x:c>
      <x:c r="F49" s="36" t="n">
        <x:v>1400.43</x:v>
      </x:c>
      <x:c r="G49" s="38" t="n">
        <x:v>0.3547</x:v>
      </x:c>
    </x:row>
    <x:row r="50">
      <x:c r="E50" s="36"/>
      <x:c r="F50" s="36"/>
      <x:c r="G50" s="38"/>
    </x:row>
  </x:sheetData>
  <x:mergeCells>
    <x:mergeCell ref="A1:J1"/>
    <x:mergeCell ref="A12:F12"/>
    <x:mergeCell ref="I12:K12"/>
    <x:mergeCell ref="A24:E24"/>
    <x:mergeCell ref="H24:K24"/>
    <x:mergeCell ref="A38:G38"/>
  </x:mergeCells>
  <x:pageMargins left="0.7" right="0.7" top="0.75" bottom="0.75" header="0.3" footer="0.3"/>
  <x:tableParts count="6">
    <x:tablePart xmlns:r="http://schemas.openxmlformats.org/officeDocument/2006/relationships" r:id="R68336777f3014f45"/>
    <x:tablePart xmlns:r="http://schemas.openxmlformats.org/officeDocument/2006/relationships" r:id="R0435a2e233a14f12"/>
    <x:tablePart xmlns:r="http://schemas.openxmlformats.org/officeDocument/2006/relationships" r:id="Rc301b3a2f8464af1"/>
    <x:tablePart xmlns:r="http://schemas.openxmlformats.org/officeDocument/2006/relationships" r:id="R585b3a6c65ae40a5"/>
    <x:tablePart xmlns:r="http://schemas.openxmlformats.org/officeDocument/2006/relationships" r:id="R84a6a5ca1c6b4628"/>
    <x:tablePart xmlns:r="http://schemas.openxmlformats.org/officeDocument/2006/relationships" r:id="R32558f33ba50442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8" hidden="0" customWidth="1"/>
    <x:col min="3" max="3" width="18" hidden="0" customWidth="1"/>
    <x:col min="4" max="4" width="55" hidden="0" customWidth="1"/>
    <x:col min="5" max="5" width="24" hidden="0" customWidth="1"/>
  </x:cols>
  <x:sheetData>
    <x:row r="1">
      <x:c r="A1" s="5" t="str">
        <x:v>Indicadores Estatísticos</x:v>
      </x:c>
      <x:c r="B1" t="str"/>
      <x:c r="C1" t="str"/>
      <x:c r="D1" t="str"/>
      <x:c r="E1" t="str"/>
    </x:row>
    <x:row r="3">
      <x:c r="A3" s="26" t="str">
        <x:v>Indicador</x:v>
      </x:c>
      <x:c r="B3" s="26" t="str">
        <x:v>Fórmula Excel</x:v>
      </x:c>
      <x:c r="C3" s="26" t="str">
        <x:v>Resultado</x:v>
      </x:c>
      <x:c r="D3" s="26" t="str">
        <x:v>Interpretação</x:v>
      </x:c>
      <x:c r="E3" s="26" t="str">
        <x:v>Base</x:v>
      </x:c>
    </x:row>
    <x:row r="4">
      <x:c r="A4" s="20" t="str">
        <x:v>Receita total</x:v>
      </x:c>
      <x:c r="B4" s="20" t="n">
        <x:f>SUM(Pedidos!Q2:Q221)</x:f>
        <x:v>96125.42000000006</x:v>
      </x:c>
      <x:c r="C4" s="40" t="n">
        <x:f>SUM(Pedidos!Q2:Q221)</x:f>
        <x:v>96125.42000000006</x:v>
      </x:c>
      <x:c r="D4" s="20" t="str">
        <x:v>Soma do valor realizado dos pedidos não cancelados.</x:v>
      </x:c>
      <x:c r="E4" s="20" t="str">
        <x:v>Pedidos!Q:Q</x:v>
      </x:c>
    </x:row>
    <x:row r="5">
      <x:c r="A5" s="20" t="str">
        <x:v>Quantidade de pedidos</x:v>
      </x:c>
      <x:c r="B5" s="20" t="n">
        <x:f>COUNTA(Pedidos!A2:A221)</x:f>
        <x:v>220</x:v>
      </x:c>
      <x:c r="C5" s="40" t="n">
        <x:f>COUNTA(Pedidos!A2:A221)</x:f>
        <x:v>220</x:v>
      </x:c>
      <x:c r="D5" s="20" t="str">
        <x:v>Total de pedidos simulados no período.</x:v>
      </x:c>
      <x:c r="E5" s="20" t="str">
        <x:v>Pedidos!A:A</x:v>
      </x:c>
    </x:row>
    <x:row r="6">
      <x:c r="A6" s="20" t="str">
        <x:v>Ticket médio</x:v>
      </x:c>
      <x:c r="B6" s="20" t="n">
        <x:f>SUM(Pedidos!Q2:Q221)/COUNTIF(Pedidos!Q2:Q221,"&gt;0")</x:f>
        <x:v>462.14144230769256</x:v>
      </x:c>
      <x:c r="C6" s="40" t="n">
        <x:f>SUM(Pedidos!Q2:Q221)/COUNTIF(Pedidos!Q2:Q221,"&gt;0")</x:f>
        <x:v>462.14144230769256</x:v>
      </x:c>
      <x:c r="D6" s="20" t="str">
        <x:v>Valor médio dos pedidos com receita realizada.</x:v>
      </x:c>
      <x:c r="E6" s="20" t="str">
        <x:v>Pedidos!Q:Q</x:v>
      </x:c>
    </x:row>
    <x:row r="7">
      <x:c r="A7" s="20" t="str">
        <x:v>Mediana do ticket</x:v>
      </x:c>
      <x:c r="B7" s="20" t="n">
        <x:f>MEDIAN(Pedidos!T2:T221)</x:f>
        <x:v>265.765</x:v>
      </x:c>
      <x:c r="C7" s="40" t="n">
        <x:f>MEDIAN(Pedidos!T2:T221)</x:f>
        <x:v>265.765</x:v>
      </x:c>
      <x:c r="D7" s="20" t="str">
        <x:v>Ponto central dos valores de ticket.</x:v>
      </x:c>
      <x:c r="E7" s="20" t="str">
        <x:v>Pedidos!T:T</x:v>
      </x:c>
    </x:row>
    <x:row r="8">
      <x:c r="A8" s="20" t="str">
        <x:v>Moda da quantidade de itens</x:v>
      </x:c>
      <x:c r="B8" s="20" t="n">
        <x:f>MODE.SNGL(Pedidos!M2:M221)</x:f>
        <x:v>1</x:v>
      </x:c>
      <x:c r="C8" s="40" t="n">
        <x:f>MODE.SNGL(Pedidos!M2:M221)</x:f>
        <x:v>1</x:v>
      </x:c>
      <x:c r="D8" s="20" t="str">
        <x:v>Quantidade total mais comum de itens por pedido.</x:v>
      </x:c>
      <x:c r="E8" s="20" t="str">
        <x:v>Pedidos!M:M</x:v>
      </x:c>
    </x:row>
    <x:row r="9">
      <x:c r="A9" s="20" t="str">
        <x:v>Amplitude do ticket</x:v>
      </x:c>
      <x:c r="B9" s="20" t="n">
        <x:f>MAX(Pedidos!T2:T221)-MIN(Pedidos!T2:T221)</x:f>
        <x:v>2997.25</x:v>
      </x:c>
      <x:c r="C9" s="40" t="n">
        <x:f>MAX(Pedidos!T2:T221)-MIN(Pedidos!T2:T221)</x:f>
        <x:v>2997.25</x:v>
      </x:c>
      <x:c r="D9" s="20" t="str">
        <x:v>Diferença entre maior e menor ticket.</x:v>
      </x:c>
      <x:c r="E9" s="20" t="str">
        <x:v>Pedidos!T:T</x:v>
      </x:c>
    </x:row>
    <x:row r="10">
      <x:c r="A10" s="20" t="str">
        <x:v>Desvio-padrão do ticket</x:v>
      </x:c>
      <x:c r="B10" s="20" t="n">
        <x:f>STDEV.S(Pedidos!T2:T221)</x:f>
        <x:v>494.6330105546294</x:v>
      </x:c>
      <x:c r="C10" s="40" t="n">
        <x:f>STDEV.S(Pedidos!T2:T221)</x:f>
        <x:v>494.6330105546294</x:v>
      </x:c>
      <x:c r="D10" s="20" t="str">
        <x:v>Dispersão dos tickets em relação à média.</x:v>
      </x:c>
      <x:c r="E10" s="20" t="str">
        <x:v>Pedidos!T:T</x:v>
      </x:c>
    </x:row>
    <x:row r="11">
      <x:c r="A11" s="20" t="str">
        <x:v>Variância do ticket</x:v>
      </x:c>
      <x:c r="B11" s="20" t="n">
        <x:f>VAR.S(Pedidos!T2:T221)</x:f>
        <x:v>244661.8151303361</x:v>
      </x:c>
      <x:c r="C11" s="40" t="n">
        <x:f>VAR.S(Pedidos!T2:T221)</x:f>
        <x:v>244661.8151303361</x:v>
      </x:c>
      <x:c r="D11" s="20" t="str">
        <x:v>Medida de variabilidade dos tickets.</x:v>
      </x:c>
      <x:c r="E11" s="20" t="str">
        <x:v>Pedidos!T:T</x:v>
      </x:c>
    </x:row>
    <x:row r="12">
      <x:c r="A12" s="20" t="str">
        <x:v>Coeficiente de variação de Pearson</x:v>
      </x:c>
      <x:c r="B12" s="20" t="n">
        <x:f>STDEV.S(Pedidos!T2:T221)/AVERAGE(Pedidos!T2:T221)</x:f>
        <x:v>1.1320549998327019</x:v>
      </x:c>
      <x:c r="C12" s="42" t="n">
        <x:f>STDEV.S(Pedidos!T2:T221)/AVERAGE(Pedidos!T2:T221)</x:f>
        <x:v>1.1320549998327019</x:v>
      </x:c>
      <x:c r="D12" s="20" t="str">
        <x:v>Mostra a dispersão relativa ao ticket médio.</x:v>
      </x:c>
      <x:c r="E12" s="20" t="str">
        <x:v>Pedidos!T:T</x:v>
      </x:c>
    </x:row>
    <x:row r="13">
      <x:c r="A13" s="20" t="str">
        <x:v>Taxa de cancelamento</x:v>
      </x:c>
      <x:c r="B13" s="20" t="n">
        <x:f>COUNTIF(Pedidos!G2:G221,"CANCELADO")/COUNTA(Pedidos!A2:A221)</x:f>
        <x:v>0.05454545454545454</x:v>
      </x:c>
      <x:c r="C13" s="42" t="n">
        <x:f>COUNTIF(Pedidos!G2:G221,"CANCELADO")/COUNTA(Pedidos!A2:A221)</x:f>
        <x:v>0.05454545454545454</x:v>
      </x:c>
      <x:c r="D13" s="20" t="str">
        <x:v>Percentual de pedidos cancelados.</x:v>
      </x:c>
      <x:c r="E13" s="20" t="str">
        <x:v>Pedidos!G:G</x:v>
      </x:c>
    </x:row>
    <x:row r="14">
      <x:c r="A14" s="20" t="str">
        <x:v>R²: qtd_total x receita_total</x:v>
      </x:c>
      <x:c r="B14" s="20" t="n">
        <x:f>RSQ(Pedidos!Q2:Q221,Pedidos!M2:M221)</x:f>
        <x:v>0.40253356335473245</x:v>
      </x:c>
      <x:c r="C14" s="44" t="n">
        <x:f>RSQ(Pedidos!Q2:Q221,Pedidos!M2:M221)</x:f>
        <x:v>0.40253356335473245</x:v>
      </x:c>
      <x:c r="D14" s="20" t="str">
        <x:v>Força da relação linear entre quantidade de itens e receita.</x:v>
      </x:c>
      <x:c r="E14" s="20" t="str">
        <x:v>Pedidos!M:M e Q:Q</x:v>
      </x:c>
    </x:row>
    <x:row r="15">
      <x:c r="A15" s="20" t="str">
        <x:v>Coeficiente angular da regressão</x:v>
      </x:c>
      <x:c r="B15" s="20" t="n">
        <x:f>SLOPE(Pedidos!Q2:Q221,Pedidos!M2:M221)</x:f>
        <x:v>185.71264233640323</x:v>
      </x:c>
      <x:c r="C15" s="44" t="n">
        <x:f>SLOPE(Pedidos!Q2:Q221,Pedidos!M2:M221)</x:f>
        <x:v>185.71264233640323</x:v>
      </x:c>
      <x:c r="D15" s="20" t="str">
        <x:v>Aumento médio de receita esperado a cada item adicional.</x:v>
      </x:c>
      <x:c r="E15" s="20" t="str">
        <x:v>Pedidos!M:M e Q:Q</x:v>
      </x:c>
    </x:row>
    <x:row r="16">
      <x:c r="A16" s="20" t="str">
        <x:v>Tempo médio de entrega</x:v>
      </x:c>
      <x:c r="B16" s="20" t="n">
        <x:f>AVERAGE(Pedidos!K2:K221)</x:f>
        <x:v>3.9593023255813953</x:v>
      </x:c>
      <x:c r="C16" s="40" t="n">
        <x:f>AVERAGE(Pedidos!K2:K221)</x:f>
        <x:v>3.9593023255813953</x:v>
      </x:c>
      <x:c r="D16" s="20" t="str">
        <x:v>Dias médios de entrega para pedidos com valor preenchido.</x:v>
      </x:c>
      <x:c r="E16" s="20" t="str">
        <x:v>Pedidos!K:K</x:v>
      </x:c>
    </x:row>
    <x:row r="17">
      <x:c r="C17" s="46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9.529998779296875" hidden="0" customWidth="1"/>
    <x:col min="2" max="2" width="34.189998626708984" hidden="0" customWidth="1"/>
    <x:col min="3" max="3" width="17.770000457763672" hidden="0" customWidth="1"/>
    <x:col min="4" max="4" width="29.479999542236328" hidden="0" customWidth="1"/>
    <x:col min="5" max="5" width="55" hidden="0" customWidth="1"/>
  </x:cols>
  <x:sheetData>
    <x:row r="1">
      <x:c r="A1" s="5" t="str">
        <x:v>Sugestões de gráficos para a parte de Estatística</x:v>
      </x:c>
      <x:c r="B1" t="str"/>
      <x:c r="C1" t="str"/>
      <x:c r="D1" t="str"/>
      <x:c r="E1" t="str"/>
    </x:row>
    <x:row r="3">
      <x:c r="A3" s="26" t="str">
        <x:v>grafico</x:v>
      </x:c>
      <x:c r="B3" s="26" t="str">
        <x:v>base</x:v>
      </x:c>
      <x:c r="C3" s="26" t="str">
        <x:v>eixo_x</x:v>
      </x:c>
      <x:c r="D3" s="26" t="str">
        <x:v>valores</x:v>
      </x:c>
      <x:c r="E3" s="26" t="str">
        <x:v>objetivo</x:v>
      </x:c>
    </x:row>
    <x:row r="4">
      <x:c r="A4" s="20" t="str">
        <x:v>Linha</x:v>
      </x:c>
      <x:c r="B4" s="20" t="str">
        <x:v>Resumos_Graficos / Resumo Mensal</x:v>
      </x:c>
      <x:c r="C4" s="20" t="str">
        <x:v>mes</x:v>
      </x:c>
      <x:c r="D4" s="20" t="str">
        <x:v>receita_total</x:v>
      </x:c>
      <x:c r="E4" s="20" t="str">
        <x:v>Mostrar tendência da receita ao longo dos meses.</x:v>
      </x:c>
    </x:row>
    <x:row r="5">
      <x:c r="A5" s="20" t="str">
        <x:v>Colunas</x:v>
      </x:c>
      <x:c r="B5" s="20" t="str">
        <x:v>Resumos_Graficos / Resumo por Categoria</x:v>
      </x:c>
      <x:c r="C5" s="20" t="str">
        <x:v>categoria</x:v>
      </x:c>
      <x:c r="D5" s="20" t="str">
        <x:v>receita_total</x:v>
      </x:c>
      <x:c r="E5" s="20" t="str">
        <x:v>Comparar faturamento entre categorias.</x:v>
      </x:c>
    </x:row>
    <x:row r="6">
      <x:c r="A6" s="20" t="str">
        <x:v>Pizza</x:v>
      </x:c>
      <x:c r="B6" s="20" t="str">
        <x:v>Resumos_Graficos / Resumo por Status</x:v>
      </x:c>
      <x:c r="C6" s="20" t="str">
        <x:v>status_pedido</x:v>
      </x:c>
      <x:c r="D6" s="20" t="str">
        <x:v>quantidade_pedidos</x:v>
      </x:c>
      <x:c r="E6" s="20" t="str">
        <x:v>Mostrar composição dos status dos pedidos.</x:v>
      </x:c>
    </x:row>
    <x:row r="7">
      <x:c r="A7" s="20" t="str">
        <x:v>Histograma</x:v>
      </x:c>
      <x:c r="B7" s="20" t="str">
        <x:v>Resumos_Graficos / Distribuição de Ticket</x:v>
      </x:c>
      <x:c r="C7" s="20" t="str">
        <x:v>classe_ticket</x:v>
      </x:c>
      <x:c r="D7" s="20" t="str">
        <x:v>frequencia</x:v>
      </x:c>
      <x:c r="E7" s="20" t="str">
        <x:v>Mostrar distribuição de frequência dos tickets.</x:v>
      </x:c>
    </x:row>
    <x:row r="8">
      <x:c r="A8" s="20" t="str">
        <x:v>Dispersão</x:v>
      </x:c>
      <x:c r="B8" s="20" t="str">
        <x:v>Pedidos</x:v>
      </x:c>
      <x:c r="C8" s="20" t="str">
        <x:v>qtd_total</x:v>
      </x:c>
      <x:c r="D8" s="20" t="str">
        <x:v>receita_total</x:v>
      </x:c>
      <x:c r="E8" s="20" t="str">
        <x:v>Analisar relação entre quantidade vendida e valor do pedido.</x:v>
      </x:c>
    </x:row>
    <x:row r="9">
      <x:c r="A9" s="20" t="str">
        <x:v>Pareto</x:v>
      </x:c>
      <x:c r="B9" s="20" t="str">
        <x:v>Resumos_Graficos / Pareto Cancelamentos</x:v>
      </x:c>
      <x:c r="C9" s="20" t="str">
        <x:v>motivo_cancelamento</x:v>
      </x:c>
      <x:c r="D9" s="20" t="str">
        <x:v>quantidade + percentual_acumulado</x:v>
      </x:c>
      <x:c r="E9" s="20" t="str">
        <x:v>Identificar causas mais relevantes dos cancelamentos.</x:v>
      </x:c>
    </x:row>
    <x:row r="10">
      <x:c r="A10" s="20"/>
      <x:c r="B10" s="20"/>
      <x:c r="C10" s="20"/>
      <x:c r="D10" s="20"/>
      <x:c r="E10" s="20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8fd3549a45b488a"/>
  </x:tableParts>
</x:worksheet>
</file>